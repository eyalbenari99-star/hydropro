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 — today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8" customWidth="1" min="17" max="17"/>
    <col width="8" customWidth="1" min="18" max="18"/>
    <col width="26" customWidth="1" min="19" max="19"/>
    <col width="7" customWidth="1" min="20" max="20"/>
    <col width="10" customWidth="1" min="21" max="21"/>
    <col width="11" customWidth="1" min="22" max="22"/>
    <col width="8" customWidth="1" min="23" max="23"/>
    <col width="9" customWidth="1" min="24" max="24"/>
    <col width="9" customWidth="1" min="25" max="25"/>
    <col width="9" customWidth="1" min="26" max="26"/>
    <col width="7" customWidth="1" min="27" max="27"/>
    <col width="7" customWidth="1" min="28" max="28"/>
    <col width="7" customWidth="1" min="29" max="29"/>
    <col width="72" customWidth="1" min="30" max="30"/>
  </cols>
  <sheetData>
    <row r="1" ht="42" customHeight="1">
      <c r="A1" s="1" t="inlineStr">
        <is>
          <t>Pool</t>
        </is>
      </c>
      <c r="B1" s="1" t="inlineStr">
        <is>
          <t>Room</t>
        </is>
      </c>
      <c r="C1" s="1" t="inlineStr">
        <is>
          <t>GH</t>
        </is>
      </c>
      <c r="D1" s="1" t="inlineStr">
        <is>
          <t>L cm</t>
        </is>
      </c>
      <c r="E1" s="1" t="inlineStr">
        <is>
          <t>W cm</t>
        </is>
      </c>
      <c r="F1" s="1" t="inlineStr">
        <is>
          <t>Target cm</t>
        </is>
      </c>
      <c r="G1" s="1" t="inlineStr">
        <is>
          <t>Template ×</t>
        </is>
      </c>
      <c r="H1" s="1" t="inlineStr">
        <is>
          <t>C cc/cm</t>
        </is>
      </c>
      <c r="I1" s="1" t="inlineStr">
        <is>
          <t>Target pH</t>
        </is>
      </c>
      <c r="J1" s="1" t="inlineStr">
        <is>
          <t>LEVEL cm</t>
        </is>
      </c>
      <c r="K1" s="1" t="inlineStr">
        <is>
          <t>EC meter 1</t>
        </is>
      </c>
      <c r="L1" s="1" t="inlineStr">
        <is>
          <t>EC meter 2</t>
        </is>
      </c>
      <c r="M1" s="1" t="inlineStr">
        <is>
          <t>pH meter 1</t>
        </is>
      </c>
      <c r="N1" s="1" t="inlineStr">
        <is>
          <t>pH meter 2</t>
        </is>
      </c>
      <c r="O1" s="1" t="inlineStr">
        <is>
          <t>Water source</t>
        </is>
      </c>
      <c r="P1" s="1" t="inlineStr">
        <is>
          <t>Mix % over-tank</t>
        </is>
      </c>
      <c r="Q1" s="1" t="inlineStr">
        <is>
          <t>EC used</t>
        </is>
      </c>
      <c r="R1" s="1" t="inlineStr">
        <is>
          <t>pH used</t>
        </is>
      </c>
      <c r="S1" s="1" t="inlineStr">
        <is>
          <t>Meters OK?</t>
        </is>
      </c>
      <c r="T1" s="1" t="inlineStr">
        <is>
          <t>Gap cm</t>
        </is>
      </c>
      <c r="U1" s="1" t="inlineStr">
        <is>
          <t>Water to add (L)</t>
        </is>
      </c>
      <c r="V1" s="1" t="inlineStr">
        <is>
          <t>EC row</t>
        </is>
      </c>
      <c r="W1" s="1" t="inlineStr">
        <is>
          <t>Source factor</t>
        </is>
      </c>
      <c r="X1" s="1" t="inlineStr">
        <is>
          <t>A drum (cc)</t>
        </is>
      </c>
      <c r="Y1" s="1" t="inlineStr">
        <is>
          <t>B drum (cc)</t>
        </is>
      </c>
      <c r="Z1" s="1" t="inlineStr">
        <is>
          <t>C drum (cc)</t>
        </is>
      </c>
      <c r="AA1" s="1" t="inlineStr">
        <is>
          <t>A (L)</t>
        </is>
      </c>
      <c r="AB1" s="1" t="inlineStr">
        <is>
          <t>B (L)</t>
        </is>
      </c>
      <c r="AC1" s="1" t="inlineStr">
        <is>
          <t>C (L)</t>
        </is>
      </c>
      <c r="AD1" s="1" t="inlineStr">
        <is>
          <t>INSTRUCTION FOR REVEN</t>
        </is>
      </c>
    </row>
    <row r="2">
      <c r="A2" s="2" t="inlineStr">
        <is>
          <t>Pool 1</t>
        </is>
      </c>
      <c r="B2" s="2" t="inlineStr">
        <is>
          <t>Room 1&amp;2</t>
        </is>
      </c>
      <c r="C2" s="2" t="inlineStr">
        <is>
          <t>GH1</t>
        </is>
      </c>
      <c r="D2" s="2" t="n">
        <v>238</v>
      </c>
      <c r="E2" s="2" t="n">
        <v>85</v>
      </c>
      <c r="F2" s="2" t="n">
        <v>130</v>
      </c>
      <c r="G2" s="2" t="n">
        <v>1</v>
      </c>
      <c r="H2" s="2">
        <f>Settings!$B$4</f>
        <v/>
      </c>
      <c r="I2" s="2">
        <f>Settings!$B$5</f>
        <v/>
      </c>
      <c r="J2" s="3" t="n"/>
      <c r="K2" s="3" t="n"/>
      <c r="L2" s="3" t="n"/>
      <c r="M2" s="3" t="n"/>
      <c r="N2" s="3" t="n"/>
      <c r="O2" s="3" t="inlineStr">
        <is>
          <t>Pure</t>
        </is>
      </c>
      <c r="P2" s="3" t="n">
        <v>0</v>
      </c>
      <c r="Q2" s="4">
        <f>IF(AND(K2="",L2=""),"",IF(OR(K2="",L2=""),MAX(K2,L2),IF(ABS(K2-L2)&lt;=Settings!$B$6,ROUND(AVERAGE(K2,L2),2),"")))</f>
        <v/>
      </c>
      <c r="R2" s="4">
        <f>IF(AND(M2="",N2=""),"",IF(OR(M2="",N2=""),MAX(M2,N2),IF(ABS(M2-N2)&lt;=Settings!$B$7,ROUND(AVERAGE(M2,N2),2),"")))</f>
        <v/>
      </c>
      <c r="S2" s="4">
        <f>IF(AND(K2&lt;&gt;"",L2&lt;&gt;"",ABS(K2-L2)&gt;Settings!$B$6),"CALIBRATE EC meters (differ "&amp;ROUND(ABS(K2-L2),2)&amp;")",IF(AND(M2&lt;&gt;"",N2&lt;&gt;"",ABS(M2-N2)&gt;Settings!$B$7),"CALIBRATE pH meters (differ "&amp;ROUND(ABS(M2-N2),2)&amp;")","OK"))</f>
        <v/>
      </c>
      <c r="T2" s="4">
        <f>IF(J2="","",MAX(0,ROUND(F2-J2,0)))</f>
        <v/>
      </c>
      <c r="U2" s="4">
        <f>IF(T2="","",ROUND(D2*E2*T2/1000,0))</f>
        <v/>
      </c>
      <c r="V2" s="4">
        <f>IF(Q2="","",IF(Q2&gt;2.35,"above 2.35 — dilute",TEXT(MAX(1.5,MROUND(Q2,0.05)),"0.00")))</f>
        <v/>
      </c>
      <c r="W2" s="4">
        <f>IF(O2="Pure",1,IF(O2="Over-tank",MAX(0,1-Settings!$B$3/Settings!$B$2),MAX(0,1-Settings!$B$3/Settings!$B$2*P2/100)))</f>
        <v/>
      </c>
      <c r="X2" s="4">
        <f>IF(OR(S2&lt;&gt;"OK",T2="",T2&lt;=0,Q2=""),0,ROUND(IFERROR(INDEX(Matrix!$B$2:$AW$19,MATCH(V2,Matrix!$A$2:$A$19,0),MATCH(MIN(48,MAX(1,T2)),Matrix!$B$1:$AW$1,0)),0)*G2*W2,0))</f>
        <v/>
      </c>
      <c r="Y2" s="4">
        <f>X2</f>
        <v/>
      </c>
      <c r="Z2" s="4">
        <f>IF(OR(S2&lt;&gt;"OK",T2="",T2&lt;=0),0,ROUND(T2*H2*IF(R2="",1,MAX(0.5,MIN(2,1+(R2-I2)))),0))</f>
        <v/>
      </c>
      <c r="AA2" s="4">
        <f>ROUND(X2/1000,2)</f>
        <v/>
      </c>
      <c r="AB2" s="4">
        <f>ROUND(Y2/1000,2)</f>
        <v/>
      </c>
      <c r="AC2" s="4">
        <f>ROUND(Z2/1000,2)</f>
        <v/>
      </c>
      <c r="AD2" s="4">
        <f>IF(S2&lt;&gt;"OK","⚠ "&amp;S2&amp;" — re-measure, no dose until the two meters agree",IF(J2="","— no reading —",IF(T2&lt;=0,"Level OK — add nothing",IF(AND(Q2&lt;&gt;"",Q2&gt;2.35),"EC "&amp;Q2&amp;" too high — add "&amp;U2&amp;" L water only, no A/B; re-check","Add "&amp;U2&amp;" L "&amp;LOWER(O2)&amp;IF(O2="Mix"," ("&amp;P2&amp;"% over-tank)","")&amp;" water · A "&amp;X2&amp;" cc · B "&amp;Y2&amp;" cc · C "&amp;Z2&amp;" cc"))))</f>
        <v/>
      </c>
    </row>
    <row r="3">
      <c r="A3" s="2" t="inlineStr">
        <is>
          <t>Pool 2</t>
        </is>
      </c>
      <c r="B3" s="2" t="inlineStr">
        <is>
          <t>Room 1&amp;2</t>
        </is>
      </c>
      <c r="C3" s="2" t="inlineStr">
        <is>
          <t>GH2</t>
        </is>
      </c>
      <c r="D3" s="2" t="n">
        <v>238</v>
      </c>
      <c r="E3" s="2" t="n">
        <v>85</v>
      </c>
      <c r="F3" s="2" t="n">
        <v>130</v>
      </c>
      <c r="G3" s="2" t="n">
        <v>1</v>
      </c>
      <c r="H3" s="2">
        <f>Settings!$B$4</f>
        <v/>
      </c>
      <c r="I3" s="2">
        <f>Settings!$B$5</f>
        <v/>
      </c>
      <c r="J3" s="3" t="n"/>
      <c r="K3" s="3" t="n"/>
      <c r="L3" s="3" t="n"/>
      <c r="M3" s="3" t="n"/>
      <c r="N3" s="3" t="n"/>
      <c r="O3" s="3" t="inlineStr">
        <is>
          <t>Pure</t>
        </is>
      </c>
      <c r="P3" s="3" t="n">
        <v>0</v>
      </c>
      <c r="Q3" s="4">
        <f>IF(AND(K3="",L3=""),"",IF(OR(K3="",L3=""),MAX(K3,L3),IF(ABS(K3-L3)&lt;=Settings!$B$6,ROUND(AVERAGE(K3,L3),2),"")))</f>
        <v/>
      </c>
      <c r="R3" s="4">
        <f>IF(AND(M3="",N3=""),"",IF(OR(M3="",N3=""),MAX(M3,N3),IF(ABS(M3-N3)&lt;=Settings!$B$7,ROUND(AVERAGE(M3,N3),2),"")))</f>
        <v/>
      </c>
      <c r="S3" s="4">
        <f>IF(AND(K3&lt;&gt;"",L3&lt;&gt;"",ABS(K3-L3)&gt;Settings!$B$6),"CALIBRATE EC meters (differ "&amp;ROUND(ABS(K3-L3),2)&amp;")",IF(AND(M3&lt;&gt;"",N3&lt;&gt;"",ABS(M3-N3)&gt;Settings!$B$7),"CALIBRATE pH meters (differ "&amp;ROUND(ABS(M3-N3),2)&amp;")","OK"))</f>
        <v/>
      </c>
      <c r="T3" s="4">
        <f>IF(J3="","",MAX(0,ROUND(F3-J3,0)))</f>
        <v/>
      </c>
      <c r="U3" s="4">
        <f>IF(T3="","",ROUND(D3*E3*T3/1000,0))</f>
        <v/>
      </c>
      <c r="V3" s="4">
        <f>IF(Q3="","",IF(Q3&gt;2.35,"above 2.35 — dilute",TEXT(MAX(1.5,MROUND(Q3,0.05)),"0.00")))</f>
        <v/>
      </c>
      <c r="W3" s="4">
        <f>IF(O3="Pure",1,IF(O3="Over-tank",MAX(0,1-Settings!$B$3/Settings!$B$2),MAX(0,1-Settings!$B$3/Settings!$B$2*P3/100)))</f>
        <v/>
      </c>
      <c r="X3" s="4">
        <f>IF(OR(S3&lt;&gt;"OK",T3="",T3&lt;=0,Q3=""),0,ROUND(IFERROR(INDEX(Matrix!$B$2:$AW$19,MATCH(V3,Matrix!$A$2:$A$19,0),MATCH(MIN(48,MAX(1,T3)),Matrix!$B$1:$AW$1,0)),0)*G3*W3,0))</f>
        <v/>
      </c>
      <c r="Y3" s="4">
        <f>X3</f>
        <v/>
      </c>
      <c r="Z3" s="4">
        <f>IF(OR(S3&lt;&gt;"OK",T3="",T3&lt;=0),0,ROUND(T3*H3*IF(R3="",1,MAX(0.5,MIN(2,1+(R3-I3)))),0))</f>
        <v/>
      </c>
      <c r="AA3" s="4">
        <f>ROUND(X3/1000,2)</f>
        <v/>
      </c>
      <c r="AB3" s="4">
        <f>ROUND(Y3/1000,2)</f>
        <v/>
      </c>
      <c r="AC3" s="4">
        <f>ROUND(Z3/1000,2)</f>
        <v/>
      </c>
      <c r="AD3" s="4">
        <f>IF(S3&lt;&gt;"OK","⚠ "&amp;S3&amp;" — re-measure, no dose until the two meters agree",IF(J3="","— no reading —",IF(T3&lt;=0,"Level OK — add nothing",IF(AND(Q3&lt;&gt;"",Q3&gt;2.35),"EC "&amp;Q3&amp;" too high — add "&amp;U3&amp;" L water only, no A/B; re-check","Add "&amp;U3&amp;" L "&amp;LOWER(O3)&amp;IF(O3="Mix"," ("&amp;P3&amp;"% over-tank)","")&amp;" water · A "&amp;X3&amp;" cc · B "&amp;Y3&amp;" cc · C "&amp;Z3&amp;" cc"))))</f>
        <v/>
      </c>
    </row>
    <row r="4">
      <c r="A4" s="2" t="inlineStr">
        <is>
          <t>Pool 3</t>
        </is>
      </c>
      <c r="B4" s="2" t="inlineStr">
        <is>
          <t>Room 3&amp;4</t>
        </is>
      </c>
      <c r="C4" s="2" t="inlineStr">
        <is>
          <t>GH3</t>
        </is>
      </c>
      <c r="D4" s="2" t="n">
        <v>197</v>
      </c>
      <c r="E4" s="2" t="n">
        <v>115</v>
      </c>
      <c r="F4" s="2" t="n">
        <v>120</v>
      </c>
      <c r="G4" s="2" t="n">
        <v>1</v>
      </c>
      <c r="H4" s="2">
        <f>Settings!$B$4</f>
        <v/>
      </c>
      <c r="I4" s="2">
        <f>Settings!$B$5</f>
        <v/>
      </c>
      <c r="J4" s="3" t="n"/>
      <c r="K4" s="3" t="n"/>
      <c r="L4" s="3" t="n"/>
      <c r="M4" s="3" t="n"/>
      <c r="N4" s="3" t="n"/>
      <c r="O4" s="3" t="inlineStr">
        <is>
          <t>Pure</t>
        </is>
      </c>
      <c r="P4" s="3" t="n">
        <v>0</v>
      </c>
      <c r="Q4" s="4">
        <f>IF(AND(K4="",L4=""),"",IF(OR(K4="",L4=""),MAX(K4,L4),IF(ABS(K4-L4)&lt;=Settings!$B$6,ROUND(AVERAGE(K4,L4),2),"")))</f>
        <v/>
      </c>
      <c r="R4" s="4">
        <f>IF(AND(M4="",N4=""),"",IF(OR(M4="",N4=""),MAX(M4,N4),IF(ABS(M4-N4)&lt;=Settings!$B$7,ROUND(AVERAGE(M4,N4),2),"")))</f>
        <v/>
      </c>
      <c r="S4" s="4">
        <f>IF(AND(K4&lt;&gt;"",L4&lt;&gt;"",ABS(K4-L4)&gt;Settings!$B$6),"CALIBRATE EC meters (differ "&amp;ROUND(ABS(K4-L4),2)&amp;")",IF(AND(M4&lt;&gt;"",N4&lt;&gt;"",ABS(M4-N4)&gt;Settings!$B$7),"CALIBRATE pH meters (differ "&amp;ROUND(ABS(M4-N4),2)&amp;")","OK"))</f>
        <v/>
      </c>
      <c r="T4" s="4">
        <f>IF(J4="","",MAX(0,ROUND(F4-J4,0)))</f>
        <v/>
      </c>
      <c r="U4" s="4">
        <f>IF(T4="","",ROUND(D4*E4*T4/1000,0))</f>
        <v/>
      </c>
      <c r="V4" s="4">
        <f>IF(Q4="","",IF(Q4&gt;2.35,"above 2.35 — dilute",TEXT(MAX(1.5,MROUND(Q4,0.05)),"0.00")))</f>
        <v/>
      </c>
      <c r="W4" s="4">
        <f>IF(O4="Pure",1,IF(O4="Over-tank",MAX(0,1-Settings!$B$3/Settings!$B$2),MAX(0,1-Settings!$B$3/Settings!$B$2*P4/100)))</f>
        <v/>
      </c>
      <c r="X4" s="4">
        <f>IF(OR(S4&lt;&gt;"OK",T4="",T4&lt;=0,Q4=""),0,ROUND(IFERROR(INDEX(Matrix!$B$2:$AW$19,MATCH(V4,Matrix!$A$2:$A$19,0),MATCH(MIN(48,MAX(1,T4)),Matrix!$B$1:$AW$1,0)),0)*G4*W4,0))</f>
        <v/>
      </c>
      <c r="Y4" s="4">
        <f>X4</f>
        <v/>
      </c>
      <c r="Z4" s="4">
        <f>IF(OR(S4&lt;&gt;"OK",T4="",T4&lt;=0),0,ROUND(T4*H4*IF(R4="",1,MAX(0.5,MIN(2,1+(R4-I4)))),0))</f>
        <v/>
      </c>
      <c r="AA4" s="4">
        <f>ROUND(X4/1000,2)</f>
        <v/>
      </c>
      <c r="AB4" s="4">
        <f>ROUND(Y4/1000,2)</f>
        <v/>
      </c>
      <c r="AC4" s="4">
        <f>ROUND(Z4/1000,2)</f>
        <v/>
      </c>
      <c r="AD4" s="4">
        <f>IF(S4&lt;&gt;"OK","⚠ "&amp;S4&amp;" — re-measure, no dose until the two meters agree",IF(J4="","— no reading —",IF(T4&lt;=0,"Level OK — add nothing",IF(AND(Q4&lt;&gt;"",Q4&gt;2.35),"EC "&amp;Q4&amp;" too high — add "&amp;U4&amp;" L water only, no A/B; re-check","Add "&amp;U4&amp;" L "&amp;LOWER(O4)&amp;IF(O4="Mix"," ("&amp;P4&amp;"% over-tank)","")&amp;" water · A "&amp;X4&amp;" cc · B "&amp;Y4&amp;" cc · C "&amp;Z4&amp;" cc"))))</f>
        <v/>
      </c>
    </row>
    <row r="5">
      <c r="A5" s="2" t="inlineStr">
        <is>
          <t>Pool 4</t>
        </is>
      </c>
      <c r="B5" s="2" t="inlineStr">
        <is>
          <t>Room 3&amp;4</t>
        </is>
      </c>
      <c r="C5" s="2" t="inlineStr">
        <is>
          <t>GH4</t>
        </is>
      </c>
      <c r="D5" s="2" t="n">
        <v>197</v>
      </c>
      <c r="E5" s="2" t="n">
        <v>115</v>
      </c>
      <c r="F5" s="2" t="n">
        <v>120</v>
      </c>
      <c r="G5" s="2" t="n">
        <v>1</v>
      </c>
      <c r="H5" s="2">
        <f>Settings!$B$4</f>
        <v/>
      </c>
      <c r="I5" s="2">
        <f>Settings!$B$5</f>
        <v/>
      </c>
      <c r="J5" s="3" t="n"/>
      <c r="K5" s="3" t="n"/>
      <c r="L5" s="3" t="n"/>
      <c r="M5" s="3" t="n"/>
      <c r="N5" s="3" t="n"/>
      <c r="O5" s="3" t="inlineStr">
        <is>
          <t>Pure</t>
        </is>
      </c>
      <c r="P5" s="3" t="n">
        <v>0</v>
      </c>
      <c r="Q5" s="4">
        <f>IF(AND(K5="",L5=""),"",IF(OR(K5="",L5=""),MAX(K5,L5),IF(ABS(K5-L5)&lt;=Settings!$B$6,ROUND(AVERAGE(K5,L5),2),"")))</f>
        <v/>
      </c>
      <c r="R5" s="4">
        <f>IF(AND(M5="",N5=""),"",IF(OR(M5="",N5=""),MAX(M5,N5),IF(ABS(M5-N5)&lt;=Settings!$B$7,ROUND(AVERAGE(M5,N5),2),"")))</f>
        <v/>
      </c>
      <c r="S5" s="4">
        <f>IF(AND(K5&lt;&gt;"",L5&lt;&gt;"",ABS(K5-L5)&gt;Settings!$B$6),"CALIBRATE EC meters (differ "&amp;ROUND(ABS(K5-L5),2)&amp;")",IF(AND(M5&lt;&gt;"",N5&lt;&gt;"",ABS(M5-N5)&gt;Settings!$B$7),"CALIBRATE pH meters (differ "&amp;ROUND(ABS(M5-N5),2)&amp;")","OK"))</f>
        <v/>
      </c>
      <c r="T5" s="4">
        <f>IF(J5="","",MAX(0,ROUND(F5-J5,0)))</f>
        <v/>
      </c>
      <c r="U5" s="4">
        <f>IF(T5="","",ROUND(D5*E5*T5/1000,0))</f>
        <v/>
      </c>
      <c r="V5" s="4">
        <f>IF(Q5="","",IF(Q5&gt;2.35,"above 2.35 — dilute",TEXT(MAX(1.5,MROUND(Q5,0.05)),"0.00")))</f>
        <v/>
      </c>
      <c r="W5" s="4">
        <f>IF(O5="Pure",1,IF(O5="Over-tank",MAX(0,1-Settings!$B$3/Settings!$B$2),MAX(0,1-Settings!$B$3/Settings!$B$2*P5/100)))</f>
        <v/>
      </c>
      <c r="X5" s="4">
        <f>IF(OR(S5&lt;&gt;"OK",T5="",T5&lt;=0,Q5=""),0,ROUND(IFERROR(INDEX(Matrix!$B$2:$AW$19,MATCH(V5,Matrix!$A$2:$A$19,0),MATCH(MIN(48,MAX(1,T5)),Matrix!$B$1:$AW$1,0)),0)*G5*W5,0))</f>
        <v/>
      </c>
      <c r="Y5" s="4">
        <f>X5</f>
        <v/>
      </c>
      <c r="Z5" s="4">
        <f>IF(OR(S5&lt;&gt;"OK",T5="",T5&lt;=0),0,ROUND(T5*H5*IF(R5="",1,MAX(0.5,MIN(2,1+(R5-I5)))),0))</f>
        <v/>
      </c>
      <c r="AA5" s="4">
        <f>ROUND(X5/1000,2)</f>
        <v/>
      </c>
      <c r="AB5" s="4">
        <f>ROUND(Y5/1000,2)</f>
        <v/>
      </c>
      <c r="AC5" s="4">
        <f>ROUND(Z5/1000,2)</f>
        <v/>
      </c>
      <c r="AD5" s="4">
        <f>IF(S5&lt;&gt;"OK","⚠ "&amp;S5&amp;" — re-measure, no dose until the two meters agree",IF(J5="","— no reading —",IF(T5&lt;=0,"Level OK — add nothing",IF(AND(Q5&lt;&gt;"",Q5&gt;2.35),"EC "&amp;Q5&amp;" too high — add "&amp;U5&amp;" L water only, no A/B; re-check","Add "&amp;U5&amp;" L "&amp;LOWER(O5)&amp;IF(O5="Mix"," ("&amp;P5&amp;"% over-tank)","")&amp;" water · A "&amp;X5&amp;" cc · B "&amp;Y5&amp;" cc · C "&amp;Z5&amp;" cc"))))</f>
        <v/>
      </c>
    </row>
    <row r="6">
      <c r="A6" s="2" t="inlineStr">
        <is>
          <t>Pool 5</t>
        </is>
      </c>
      <c r="B6" s="2" t="inlineStr">
        <is>
          <t>Room 5&amp;6</t>
        </is>
      </c>
      <c r="C6" s="2" t="inlineStr">
        <is>
          <t>GH5</t>
        </is>
      </c>
      <c r="D6" s="2" t="n">
        <v>198</v>
      </c>
      <c r="E6" s="2" t="n">
        <v>120</v>
      </c>
      <c r="F6" s="2" t="n">
        <v>100</v>
      </c>
      <c r="G6" s="2" t="n">
        <v>1</v>
      </c>
      <c r="H6" s="2">
        <f>Settings!$B$4</f>
        <v/>
      </c>
      <c r="I6" s="2">
        <f>Settings!$B$5</f>
        <v/>
      </c>
      <c r="J6" s="3" t="n"/>
      <c r="K6" s="3" t="n"/>
      <c r="L6" s="3" t="n"/>
      <c r="M6" s="3" t="n"/>
      <c r="N6" s="3" t="n"/>
      <c r="O6" s="3" t="inlineStr">
        <is>
          <t>Pure</t>
        </is>
      </c>
      <c r="P6" s="3" t="n">
        <v>0</v>
      </c>
      <c r="Q6" s="4">
        <f>IF(AND(K6="",L6=""),"",IF(OR(K6="",L6=""),MAX(K6,L6),IF(ABS(K6-L6)&lt;=Settings!$B$6,ROUND(AVERAGE(K6,L6),2),"")))</f>
        <v/>
      </c>
      <c r="R6" s="4">
        <f>IF(AND(M6="",N6=""),"",IF(OR(M6="",N6=""),MAX(M6,N6),IF(ABS(M6-N6)&lt;=Settings!$B$7,ROUND(AVERAGE(M6,N6),2),"")))</f>
        <v/>
      </c>
      <c r="S6" s="4">
        <f>IF(AND(K6&lt;&gt;"",L6&lt;&gt;"",ABS(K6-L6)&gt;Settings!$B$6),"CALIBRATE EC meters (differ "&amp;ROUND(ABS(K6-L6),2)&amp;")",IF(AND(M6&lt;&gt;"",N6&lt;&gt;"",ABS(M6-N6)&gt;Settings!$B$7),"CALIBRATE pH meters (differ "&amp;ROUND(ABS(M6-N6),2)&amp;")","OK"))</f>
        <v/>
      </c>
      <c r="T6" s="4">
        <f>IF(J6="","",MAX(0,ROUND(F6-J6,0)))</f>
        <v/>
      </c>
      <c r="U6" s="4">
        <f>IF(T6="","",ROUND(D6*E6*T6/1000,0))</f>
        <v/>
      </c>
      <c r="V6" s="4">
        <f>IF(Q6="","",IF(Q6&gt;2.35,"above 2.35 — dilute",TEXT(MAX(1.5,MROUND(Q6,0.05)),"0.00")))</f>
        <v/>
      </c>
      <c r="W6" s="4">
        <f>IF(O6="Pure",1,IF(O6="Over-tank",MAX(0,1-Settings!$B$3/Settings!$B$2),MAX(0,1-Settings!$B$3/Settings!$B$2*P6/100)))</f>
        <v/>
      </c>
      <c r="X6" s="4">
        <f>IF(OR(S6&lt;&gt;"OK",T6="",T6&lt;=0,Q6=""),0,ROUND(IFERROR(INDEX(Matrix!$B$2:$AW$19,MATCH(V6,Matrix!$A$2:$A$19,0),MATCH(MIN(48,MAX(1,T6)),Matrix!$B$1:$AW$1,0)),0)*G6*W6,0))</f>
        <v/>
      </c>
      <c r="Y6" s="4">
        <f>X6</f>
        <v/>
      </c>
      <c r="Z6" s="4">
        <f>IF(OR(S6&lt;&gt;"OK",T6="",T6&lt;=0),0,ROUND(T6*H6*IF(R6="",1,MAX(0.5,MIN(2,1+(R6-I6)))),0))</f>
        <v/>
      </c>
      <c r="AA6" s="4">
        <f>ROUND(X6/1000,2)</f>
        <v/>
      </c>
      <c r="AB6" s="4">
        <f>ROUND(Y6/1000,2)</f>
        <v/>
      </c>
      <c r="AC6" s="4">
        <f>ROUND(Z6/1000,2)</f>
        <v/>
      </c>
      <c r="AD6" s="4">
        <f>IF(S6&lt;&gt;"OK","⚠ "&amp;S6&amp;" — re-measure, no dose until the two meters agree",IF(J6="","— no reading —",IF(T6&lt;=0,"Level OK — add nothing",IF(AND(Q6&lt;&gt;"",Q6&gt;2.35),"EC "&amp;Q6&amp;" too high — add "&amp;U6&amp;" L water only, no A/B; re-check","Add "&amp;U6&amp;" L "&amp;LOWER(O6)&amp;IF(O6="Mix"," ("&amp;P6&amp;"% over-tank)","")&amp;" water · A "&amp;X6&amp;" cc · B "&amp;Y6&amp;" cc · C "&amp;Z6&amp;" cc"))))</f>
        <v/>
      </c>
    </row>
    <row r="7">
      <c r="A7" s="2" t="inlineStr">
        <is>
          <t>Pool 6</t>
        </is>
      </c>
      <c r="B7" s="2" t="inlineStr">
        <is>
          <t>Room 5&amp;6</t>
        </is>
      </c>
      <c r="C7" s="2" t="inlineStr">
        <is>
          <t>GH6</t>
        </is>
      </c>
      <c r="D7" s="2" t="n">
        <v>275</v>
      </c>
      <c r="E7" s="2" t="n">
        <v>102</v>
      </c>
      <c r="F7" s="2" t="n">
        <v>90</v>
      </c>
      <c r="G7" s="2" t="n">
        <v>1</v>
      </c>
      <c r="H7" s="2">
        <f>Settings!$B$4</f>
        <v/>
      </c>
      <c r="I7" s="2">
        <f>Settings!$B$5</f>
        <v/>
      </c>
      <c r="J7" s="3" t="n"/>
      <c r="K7" s="3" t="n"/>
      <c r="L7" s="3" t="n"/>
      <c r="M7" s="3" t="n"/>
      <c r="N7" s="3" t="n"/>
      <c r="O7" s="3" t="inlineStr">
        <is>
          <t>Pure</t>
        </is>
      </c>
      <c r="P7" s="3" t="n">
        <v>0</v>
      </c>
      <c r="Q7" s="4">
        <f>IF(AND(K7="",L7=""),"",IF(OR(K7="",L7=""),MAX(K7,L7),IF(ABS(K7-L7)&lt;=Settings!$B$6,ROUND(AVERAGE(K7,L7),2),"")))</f>
        <v/>
      </c>
      <c r="R7" s="4">
        <f>IF(AND(M7="",N7=""),"",IF(OR(M7="",N7=""),MAX(M7,N7),IF(ABS(M7-N7)&lt;=Settings!$B$7,ROUND(AVERAGE(M7,N7),2),"")))</f>
        <v/>
      </c>
      <c r="S7" s="4">
        <f>IF(AND(K7&lt;&gt;"",L7&lt;&gt;"",ABS(K7-L7)&gt;Settings!$B$6),"CALIBRATE EC meters (differ "&amp;ROUND(ABS(K7-L7),2)&amp;")",IF(AND(M7&lt;&gt;"",N7&lt;&gt;"",ABS(M7-N7)&gt;Settings!$B$7),"CALIBRATE pH meters (differ "&amp;ROUND(ABS(M7-N7),2)&amp;")","OK"))</f>
        <v/>
      </c>
      <c r="T7" s="4">
        <f>IF(J7="","",MAX(0,ROUND(F7-J7,0)))</f>
        <v/>
      </c>
      <c r="U7" s="4">
        <f>IF(T7="","",ROUND(D7*E7*T7/1000,0))</f>
        <v/>
      </c>
      <c r="V7" s="4">
        <f>IF(Q7="","",IF(Q7&gt;2.35,"above 2.35 — dilute",TEXT(MAX(1.5,MROUND(Q7,0.05)),"0.00")))</f>
        <v/>
      </c>
      <c r="W7" s="4">
        <f>IF(O7="Pure",1,IF(O7="Over-tank",MAX(0,1-Settings!$B$3/Settings!$B$2),MAX(0,1-Settings!$B$3/Settings!$B$2*P7/100)))</f>
        <v/>
      </c>
      <c r="X7" s="4">
        <f>IF(OR(S7&lt;&gt;"OK",T7="",T7&lt;=0,Q7=""),0,ROUND(IFERROR(INDEX(Matrix!$B$2:$AW$19,MATCH(V7,Matrix!$A$2:$A$19,0),MATCH(MIN(48,MAX(1,T7)),Matrix!$B$1:$AW$1,0)),0)*G7*W7,0))</f>
        <v/>
      </c>
      <c r="Y7" s="4">
        <f>X7</f>
        <v/>
      </c>
      <c r="Z7" s="4">
        <f>IF(OR(S7&lt;&gt;"OK",T7="",T7&lt;=0),0,ROUND(T7*H7*IF(R7="",1,MAX(0.5,MIN(2,1+(R7-I7)))),0))</f>
        <v/>
      </c>
      <c r="AA7" s="4">
        <f>ROUND(X7/1000,2)</f>
        <v/>
      </c>
      <c r="AB7" s="4">
        <f>ROUND(Y7/1000,2)</f>
        <v/>
      </c>
      <c r="AC7" s="4">
        <f>ROUND(Z7/1000,2)</f>
        <v/>
      </c>
      <c r="AD7" s="4">
        <f>IF(S7&lt;&gt;"OK","⚠ "&amp;S7&amp;" — re-measure, no dose until the two meters agree",IF(J7="","— no reading —",IF(T7&lt;=0,"Level OK — add nothing",IF(AND(Q7&lt;&gt;"",Q7&gt;2.35),"EC "&amp;Q7&amp;" too high — add "&amp;U7&amp;" L water only, no A/B; re-check","Add "&amp;U7&amp;" L "&amp;LOWER(O7)&amp;IF(O7="Mix"," ("&amp;P7&amp;"% over-tank)","")&amp;" water · A "&amp;X7&amp;" cc · B "&amp;Y7&amp;" cc · C "&amp;Z7&amp;" cc"))))</f>
        <v/>
      </c>
    </row>
    <row r="8">
      <c r="A8" s="2" t="inlineStr">
        <is>
          <t>Pool 7</t>
        </is>
      </c>
      <c r="B8" s="2" t="inlineStr">
        <is>
          <t>Room 7&amp;8</t>
        </is>
      </c>
      <c r="C8" s="2" t="inlineStr">
        <is>
          <t>GH7</t>
        </is>
      </c>
      <c r="D8" s="2" t="n">
        <v>150</v>
      </c>
      <c r="E8" s="2" t="n">
        <v>143</v>
      </c>
      <c r="F8" s="2" t="n">
        <v>100</v>
      </c>
      <c r="G8" s="2" t="n">
        <v>0.67</v>
      </c>
      <c r="H8" s="2">
        <f>Settings!$B$4</f>
        <v/>
      </c>
      <c r="I8" s="2">
        <f>Settings!$B$5</f>
        <v/>
      </c>
      <c r="J8" s="3" t="n"/>
      <c r="K8" s="3" t="n"/>
      <c r="L8" s="3" t="n"/>
      <c r="M8" s="3" t="n"/>
      <c r="N8" s="3" t="n"/>
      <c r="O8" s="3" t="inlineStr">
        <is>
          <t>Pure</t>
        </is>
      </c>
      <c r="P8" s="3" t="n">
        <v>0</v>
      </c>
      <c r="Q8" s="4">
        <f>IF(AND(K8="",L8=""),"",IF(OR(K8="",L8=""),MAX(K8,L8),IF(ABS(K8-L8)&lt;=Settings!$B$6,ROUND(AVERAGE(K8,L8),2),"")))</f>
        <v/>
      </c>
      <c r="R8" s="4">
        <f>IF(AND(M8="",N8=""),"",IF(OR(M8="",N8=""),MAX(M8,N8),IF(ABS(M8-N8)&lt;=Settings!$B$7,ROUND(AVERAGE(M8,N8),2),"")))</f>
        <v/>
      </c>
      <c r="S8" s="4">
        <f>IF(AND(K8&lt;&gt;"",L8&lt;&gt;"",ABS(K8-L8)&gt;Settings!$B$6),"CALIBRATE EC meters (differ "&amp;ROUND(ABS(K8-L8),2)&amp;")",IF(AND(M8&lt;&gt;"",N8&lt;&gt;"",ABS(M8-N8)&gt;Settings!$B$7),"CALIBRATE pH meters (differ "&amp;ROUND(ABS(M8-N8),2)&amp;")","OK"))</f>
        <v/>
      </c>
      <c r="T8" s="4">
        <f>IF(J8="","",MAX(0,ROUND(F8-J8,0)))</f>
        <v/>
      </c>
      <c r="U8" s="4">
        <f>IF(T8="","",ROUND(D8*E8*T8/1000,0))</f>
        <v/>
      </c>
      <c r="V8" s="4">
        <f>IF(Q8="","",IF(Q8&gt;2.35,"above 2.35 — dilute",TEXT(MAX(1.5,MROUND(Q8,0.05)),"0.00")))</f>
        <v/>
      </c>
      <c r="W8" s="4">
        <f>IF(O8="Pure",1,IF(O8="Over-tank",MAX(0,1-Settings!$B$3/Settings!$B$2),MAX(0,1-Settings!$B$3/Settings!$B$2*P8/100)))</f>
        <v/>
      </c>
      <c r="X8" s="4">
        <f>IF(OR(S8&lt;&gt;"OK",T8="",T8&lt;=0,Q8=""),0,ROUND(IFERROR(INDEX(Matrix!$B$2:$AW$19,MATCH(V8,Matrix!$A$2:$A$19,0),MATCH(MIN(48,MAX(1,T8)),Matrix!$B$1:$AW$1,0)),0)*G8*W8,0))</f>
        <v/>
      </c>
      <c r="Y8" s="4">
        <f>X8</f>
        <v/>
      </c>
      <c r="Z8" s="4">
        <f>IF(OR(S8&lt;&gt;"OK",T8="",T8&lt;=0),0,ROUND(T8*H8*IF(R8="",1,MAX(0.5,MIN(2,1+(R8-I8)))),0))</f>
        <v/>
      </c>
      <c r="AA8" s="4">
        <f>ROUND(X8/1000,2)</f>
        <v/>
      </c>
      <c r="AB8" s="4">
        <f>ROUND(Y8/1000,2)</f>
        <v/>
      </c>
      <c r="AC8" s="4">
        <f>ROUND(Z8/1000,2)</f>
        <v/>
      </c>
      <c r="AD8" s="4">
        <f>IF(S8&lt;&gt;"OK","⚠ "&amp;S8&amp;" — re-measure, no dose until the two meters agree",IF(J8="","— no reading —",IF(T8&lt;=0,"Level OK — add nothing",IF(AND(Q8&lt;&gt;"",Q8&gt;2.35),"EC "&amp;Q8&amp;" too high — add "&amp;U8&amp;" L water only, no A/B; re-check","Add "&amp;U8&amp;" L "&amp;LOWER(O8)&amp;IF(O8="Mix"," ("&amp;P8&amp;"% over-tank)","")&amp;" water · A "&amp;X8&amp;" cc · B "&amp;Y8&amp;" cc · C "&amp;Z8&amp;" cc"))))</f>
        <v/>
      </c>
    </row>
    <row r="9">
      <c r="A9" s="2" t="inlineStr">
        <is>
          <t>Pool 8</t>
        </is>
      </c>
      <c r="B9" s="2" t="inlineStr">
        <is>
          <t>Room 7&amp;8</t>
        </is>
      </c>
      <c r="C9" s="2" t="inlineStr">
        <is>
          <t>GH8</t>
        </is>
      </c>
      <c r="D9" s="2" t="n">
        <v>150</v>
      </c>
      <c r="E9" s="2" t="n">
        <v>143</v>
      </c>
      <c r="F9" s="2" t="n">
        <v>100</v>
      </c>
      <c r="G9" s="2" t="n">
        <v>0.67</v>
      </c>
      <c r="H9" s="2">
        <f>Settings!$B$4</f>
        <v/>
      </c>
      <c r="I9" s="2">
        <f>Settings!$B$5</f>
        <v/>
      </c>
      <c r="J9" s="3" t="n"/>
      <c r="K9" s="3" t="n"/>
      <c r="L9" s="3" t="n"/>
      <c r="M9" s="3" t="n"/>
      <c r="N9" s="3" t="n"/>
      <c r="O9" s="3" t="inlineStr">
        <is>
          <t>Pure</t>
        </is>
      </c>
      <c r="P9" s="3" t="n">
        <v>0</v>
      </c>
      <c r="Q9" s="4">
        <f>IF(AND(K9="",L9=""),"",IF(OR(K9="",L9=""),MAX(K9,L9),IF(ABS(K9-L9)&lt;=Settings!$B$6,ROUND(AVERAGE(K9,L9),2),"")))</f>
        <v/>
      </c>
      <c r="R9" s="4">
        <f>IF(AND(M9="",N9=""),"",IF(OR(M9="",N9=""),MAX(M9,N9),IF(ABS(M9-N9)&lt;=Settings!$B$7,ROUND(AVERAGE(M9,N9),2),"")))</f>
        <v/>
      </c>
      <c r="S9" s="4">
        <f>IF(AND(K9&lt;&gt;"",L9&lt;&gt;"",ABS(K9-L9)&gt;Settings!$B$6),"CALIBRATE EC meters (differ "&amp;ROUND(ABS(K9-L9),2)&amp;")",IF(AND(M9&lt;&gt;"",N9&lt;&gt;"",ABS(M9-N9)&gt;Settings!$B$7),"CALIBRATE pH meters (differ "&amp;ROUND(ABS(M9-N9),2)&amp;")","OK"))</f>
        <v/>
      </c>
      <c r="T9" s="4">
        <f>IF(J9="","",MAX(0,ROUND(F9-J9,0)))</f>
        <v/>
      </c>
      <c r="U9" s="4">
        <f>IF(T9="","",ROUND(D9*E9*T9/1000,0))</f>
        <v/>
      </c>
      <c r="V9" s="4">
        <f>IF(Q9="","",IF(Q9&gt;2.35,"above 2.35 — dilute",TEXT(MAX(1.5,MROUND(Q9,0.05)),"0.00")))</f>
        <v/>
      </c>
      <c r="W9" s="4">
        <f>IF(O9="Pure",1,IF(O9="Over-tank",MAX(0,1-Settings!$B$3/Settings!$B$2),MAX(0,1-Settings!$B$3/Settings!$B$2*P9/100)))</f>
        <v/>
      </c>
      <c r="X9" s="4">
        <f>IF(OR(S9&lt;&gt;"OK",T9="",T9&lt;=0,Q9=""),0,ROUND(IFERROR(INDEX(Matrix!$B$2:$AW$19,MATCH(V9,Matrix!$A$2:$A$19,0),MATCH(MIN(48,MAX(1,T9)),Matrix!$B$1:$AW$1,0)),0)*G9*W9,0))</f>
        <v/>
      </c>
      <c r="Y9" s="4">
        <f>X9</f>
        <v/>
      </c>
      <c r="Z9" s="4">
        <f>IF(OR(S9&lt;&gt;"OK",T9="",T9&lt;=0),0,ROUND(T9*H9*IF(R9="",1,MAX(0.5,MIN(2,1+(R9-I9)))),0))</f>
        <v/>
      </c>
      <c r="AA9" s="4">
        <f>ROUND(X9/1000,2)</f>
        <v/>
      </c>
      <c r="AB9" s="4">
        <f>ROUND(Y9/1000,2)</f>
        <v/>
      </c>
      <c r="AC9" s="4">
        <f>ROUND(Z9/1000,2)</f>
        <v/>
      </c>
      <c r="AD9" s="4">
        <f>IF(S9&lt;&gt;"OK","⚠ "&amp;S9&amp;" — re-measure, no dose until the two meters agree",IF(J9="","— no reading —",IF(T9&lt;=0,"Level OK — add nothing",IF(AND(Q9&lt;&gt;"",Q9&gt;2.35),"EC "&amp;Q9&amp;" too high — add "&amp;U9&amp;" L water only, no A/B; re-check","Add "&amp;U9&amp;" L "&amp;LOWER(O9)&amp;IF(O9="Mix"," ("&amp;P9&amp;"% over-tank)","")&amp;" water · A "&amp;X9&amp;" cc · B "&amp;Y9&amp;" cc · C "&amp;Z9&amp;" cc"))))</f>
        <v/>
      </c>
    </row>
    <row r="10">
      <c r="A10" s="2" t="inlineStr">
        <is>
          <t>Pool 9</t>
        </is>
      </c>
      <c r="B10" s="2" t="inlineStr">
        <is>
          <t>Room 9</t>
        </is>
      </c>
      <c r="C10" s="2" t="inlineStr">
        <is>
          <t>GH9</t>
        </is>
      </c>
      <c r="D10" s="2" t="n">
        <v>236</v>
      </c>
      <c r="E10" s="2" t="n">
        <v>142</v>
      </c>
      <c r="F10" s="2" t="n">
        <v>100</v>
      </c>
      <c r="G10" s="2" t="n">
        <v>1.5</v>
      </c>
      <c r="H10" s="2">
        <f>Settings!$B$4</f>
        <v/>
      </c>
      <c r="I10" s="2">
        <f>Settings!$B$5</f>
        <v/>
      </c>
      <c r="J10" s="3" t="n"/>
      <c r="K10" s="3" t="n"/>
      <c r="L10" s="3" t="n"/>
      <c r="M10" s="3" t="n"/>
      <c r="N10" s="3" t="n"/>
      <c r="O10" s="3" t="inlineStr">
        <is>
          <t>Pure</t>
        </is>
      </c>
      <c r="P10" s="3" t="n">
        <v>0</v>
      </c>
      <c r="Q10" s="4">
        <f>IF(AND(K10="",L10=""),"",IF(OR(K10="",L10=""),MAX(K10,L10),IF(ABS(K10-L10)&lt;=Settings!$B$6,ROUND(AVERAGE(K10,L10),2),"")))</f>
        <v/>
      </c>
      <c r="R10" s="4">
        <f>IF(AND(M10="",N10=""),"",IF(OR(M10="",N10=""),MAX(M10,N10),IF(ABS(M10-N10)&lt;=Settings!$B$7,ROUND(AVERAGE(M10,N10),2),"")))</f>
        <v/>
      </c>
      <c r="S10" s="4">
        <f>IF(AND(K10&lt;&gt;"",L10&lt;&gt;"",ABS(K10-L10)&gt;Settings!$B$6),"CALIBRATE EC meters (differ "&amp;ROUND(ABS(K10-L10),2)&amp;")",IF(AND(M10&lt;&gt;"",N10&lt;&gt;"",ABS(M10-N10)&gt;Settings!$B$7),"CALIBRATE pH meters (differ "&amp;ROUND(ABS(M10-N10),2)&amp;")","OK"))</f>
        <v/>
      </c>
      <c r="T10" s="4">
        <f>IF(J10="","",MAX(0,ROUND(F10-J10,0)))</f>
        <v/>
      </c>
      <c r="U10" s="4">
        <f>IF(T10="","",ROUND(D10*E10*T10/1000,0))</f>
        <v/>
      </c>
      <c r="V10" s="4">
        <f>IF(Q10="","",IF(Q10&gt;2.35,"above 2.35 — dilute",TEXT(MAX(1.5,MROUND(Q10,0.05)),"0.00")))</f>
        <v/>
      </c>
      <c r="W10" s="4">
        <f>IF(O10="Pure",1,IF(O10="Over-tank",MAX(0,1-Settings!$B$3/Settings!$B$2),MAX(0,1-Settings!$B$3/Settings!$B$2*P10/100)))</f>
        <v/>
      </c>
      <c r="X10" s="4">
        <f>IF(OR(S10&lt;&gt;"OK",T10="",T10&lt;=0,Q10=""),0,ROUND(IFERROR(INDEX(Matrix!$B$2:$AW$19,MATCH(V10,Matrix!$A$2:$A$19,0),MATCH(MIN(48,MAX(1,T10)),Matrix!$B$1:$AW$1,0)),0)*G10*W10,0))</f>
        <v/>
      </c>
      <c r="Y10" s="4">
        <f>X10</f>
        <v/>
      </c>
      <c r="Z10" s="4">
        <f>IF(OR(S10&lt;&gt;"OK",T10="",T10&lt;=0),0,ROUND(T10*H10*IF(R10="",1,MAX(0.5,MIN(2,1+(R10-I10)))),0))</f>
        <v/>
      </c>
      <c r="AA10" s="4">
        <f>ROUND(X10/1000,2)</f>
        <v/>
      </c>
      <c r="AB10" s="4">
        <f>ROUND(Y10/1000,2)</f>
        <v/>
      </c>
      <c r="AC10" s="4">
        <f>ROUND(Z10/1000,2)</f>
        <v/>
      </c>
      <c r="AD10" s="4">
        <f>IF(S10&lt;&gt;"OK","⚠ "&amp;S10&amp;" — re-measure, no dose until the two meters agree",IF(J10="","— no reading —",IF(T10&lt;=0,"Level OK — add nothing",IF(AND(Q10&lt;&gt;"",Q10&gt;2.35),"EC "&amp;Q10&amp;" too high — add "&amp;U10&amp;" L water only, no A/B; re-check","Add "&amp;U10&amp;" L "&amp;LOWER(O10)&amp;IF(O10="Mix"," ("&amp;P10&amp;"% over-tank)","")&amp;" water · A "&amp;X10&amp;" cc · B "&amp;Y10&amp;" cc · C "&amp;Z10&amp;" cc"))))</f>
        <v/>
      </c>
    </row>
    <row r="11">
      <c r="A11" s="2" t="inlineStr">
        <is>
          <t>Pool 10</t>
        </is>
      </c>
      <c r="B11" s="2" t="inlineStr">
        <is>
          <t>Room 10</t>
        </is>
      </c>
      <c r="C11" s="2" t="inlineStr">
        <is>
          <t>GH10</t>
        </is>
      </c>
      <c r="D11" s="2" t="n">
        <v>180</v>
      </c>
      <c r="E11" s="2" t="n">
        <v>118</v>
      </c>
      <c r="F11" s="2" t="n">
        <v>120</v>
      </c>
      <c r="G11" s="2" t="n">
        <v>1</v>
      </c>
      <c r="H11" s="2">
        <f>Settings!$B$4</f>
        <v/>
      </c>
      <c r="I11" s="2">
        <f>Settings!$B$5</f>
        <v/>
      </c>
      <c r="J11" s="3" t="n"/>
      <c r="K11" s="3" t="n"/>
      <c r="L11" s="3" t="n"/>
      <c r="M11" s="3" t="n"/>
      <c r="N11" s="3" t="n"/>
      <c r="O11" s="3" t="inlineStr">
        <is>
          <t>Pure</t>
        </is>
      </c>
      <c r="P11" s="3" t="n">
        <v>0</v>
      </c>
      <c r="Q11" s="4">
        <f>IF(AND(K11="",L11=""),"",IF(OR(K11="",L11=""),MAX(K11,L11),IF(ABS(K11-L11)&lt;=Settings!$B$6,ROUND(AVERAGE(K11,L11),2),"")))</f>
        <v/>
      </c>
      <c r="R11" s="4">
        <f>IF(AND(M11="",N11=""),"",IF(OR(M11="",N11=""),MAX(M11,N11),IF(ABS(M11-N11)&lt;=Settings!$B$7,ROUND(AVERAGE(M11,N11),2),"")))</f>
        <v/>
      </c>
      <c r="S11" s="4">
        <f>IF(AND(K11&lt;&gt;"",L11&lt;&gt;"",ABS(K11-L11)&gt;Settings!$B$6),"CALIBRATE EC meters (differ "&amp;ROUND(ABS(K11-L11),2)&amp;")",IF(AND(M11&lt;&gt;"",N11&lt;&gt;"",ABS(M11-N11)&gt;Settings!$B$7),"CALIBRATE pH meters (differ "&amp;ROUND(ABS(M11-N11),2)&amp;")","OK"))</f>
        <v/>
      </c>
      <c r="T11" s="4">
        <f>IF(J11="","",MAX(0,ROUND(F11-J11,0)))</f>
        <v/>
      </c>
      <c r="U11" s="4">
        <f>IF(T11="","",ROUND(D11*E11*T11/1000,0))</f>
        <v/>
      </c>
      <c r="V11" s="4">
        <f>IF(Q11="","",IF(Q11&gt;2.35,"above 2.35 — dilute",TEXT(MAX(1.5,MROUND(Q11,0.05)),"0.00")))</f>
        <v/>
      </c>
      <c r="W11" s="4">
        <f>IF(O11="Pure",1,IF(O11="Over-tank",MAX(0,1-Settings!$B$3/Settings!$B$2),MAX(0,1-Settings!$B$3/Settings!$B$2*P11/100)))</f>
        <v/>
      </c>
      <c r="X11" s="4">
        <f>IF(OR(S11&lt;&gt;"OK",T11="",T11&lt;=0,Q11=""),0,ROUND(IFERROR(INDEX(Matrix!$B$2:$AW$19,MATCH(V11,Matrix!$A$2:$A$19,0),MATCH(MIN(48,MAX(1,T11)),Matrix!$B$1:$AW$1,0)),0)*G11*W11,0))</f>
        <v/>
      </c>
      <c r="Y11" s="4">
        <f>X11</f>
        <v/>
      </c>
      <c r="Z11" s="4">
        <f>IF(OR(S11&lt;&gt;"OK",T11="",T11&lt;=0),0,ROUND(T11*H11*IF(R11="",1,MAX(0.5,MIN(2,1+(R11-I11)))),0))</f>
        <v/>
      </c>
      <c r="AA11" s="4">
        <f>ROUND(X11/1000,2)</f>
        <v/>
      </c>
      <c r="AB11" s="4">
        <f>ROUND(Y11/1000,2)</f>
        <v/>
      </c>
      <c r="AC11" s="4">
        <f>ROUND(Z11/1000,2)</f>
        <v/>
      </c>
      <c r="AD11" s="4">
        <f>IF(S11&lt;&gt;"OK","⚠ "&amp;S11&amp;" — re-measure, no dose until the two meters agree",IF(J11="","— no reading —",IF(T11&lt;=0,"Level OK — add nothing",IF(AND(Q11&lt;&gt;"",Q11&gt;2.35),"EC "&amp;Q11&amp;" too high — add "&amp;U11&amp;" L water only, no A/B; re-check","Add "&amp;U11&amp;" L "&amp;LOWER(O11)&amp;IF(O11="Mix"," ("&amp;P11&amp;"% over-tank)","")&amp;" water · A "&amp;X11&amp;" cc · B "&amp;Y11&amp;" cc · C "&amp;Z11&amp;" cc"))))</f>
        <v/>
      </c>
    </row>
    <row r="12">
      <c r="A12" s="2" t="inlineStr">
        <is>
          <t>PRJ11-A</t>
        </is>
      </c>
      <c r="B12" s="2" t="inlineStr">
        <is>
          <t>Room PRJ11</t>
        </is>
      </c>
      <c r="C12" s="2" t="inlineStr">
        <is>
          <t>PRJ11</t>
        </is>
      </c>
      <c r="D12" s="2" t="n">
        <v>110</v>
      </c>
      <c r="E12" s="2" t="n">
        <v>123</v>
      </c>
      <c r="F12" s="2" t="n">
        <v>100</v>
      </c>
      <c r="G12" s="2" t="n">
        <v>1</v>
      </c>
      <c r="H12" s="2">
        <f>Settings!$B$4</f>
        <v/>
      </c>
      <c r="I12" s="2">
        <f>Settings!$B$5</f>
        <v/>
      </c>
      <c r="J12" s="3" t="n"/>
      <c r="K12" s="3" t="n"/>
      <c r="L12" s="3" t="n"/>
      <c r="M12" s="3" t="n"/>
      <c r="N12" s="3" t="n"/>
      <c r="O12" s="3" t="inlineStr">
        <is>
          <t>Pure</t>
        </is>
      </c>
      <c r="P12" s="3" t="n">
        <v>0</v>
      </c>
      <c r="Q12" s="4">
        <f>IF(AND(K12="",L12=""),"",IF(OR(K12="",L12=""),MAX(K12,L12),IF(ABS(K12-L12)&lt;=Settings!$B$6,ROUND(AVERAGE(K12,L12),2),"")))</f>
        <v/>
      </c>
      <c r="R12" s="4">
        <f>IF(AND(M12="",N12=""),"",IF(OR(M12="",N12=""),MAX(M12,N12),IF(ABS(M12-N12)&lt;=Settings!$B$7,ROUND(AVERAGE(M12,N12),2),"")))</f>
        <v/>
      </c>
      <c r="S12" s="4">
        <f>IF(AND(K12&lt;&gt;"",L12&lt;&gt;"",ABS(K12-L12)&gt;Settings!$B$6),"CALIBRATE EC meters (differ "&amp;ROUND(ABS(K12-L12),2)&amp;")",IF(AND(M12&lt;&gt;"",N12&lt;&gt;"",ABS(M12-N12)&gt;Settings!$B$7),"CALIBRATE pH meters (differ "&amp;ROUND(ABS(M12-N12),2)&amp;")","OK"))</f>
        <v/>
      </c>
      <c r="T12" s="4">
        <f>IF(J12="","",MAX(0,ROUND(F12-J12,0)))</f>
        <v/>
      </c>
      <c r="U12" s="4">
        <f>IF(T12="","",ROUND(D12*E12*T12/1000,0))</f>
        <v/>
      </c>
      <c r="V12" s="4">
        <f>IF(Q12="","",IF(Q12&gt;2.35,"above 2.35 — dilute",TEXT(MAX(1.5,MROUND(Q12,0.05)),"0.00")))</f>
        <v/>
      </c>
      <c r="W12" s="4">
        <f>IF(O12="Pure",1,IF(O12="Over-tank",MAX(0,1-Settings!$B$3/Settings!$B$2),MAX(0,1-Settings!$B$3/Settings!$B$2*P12/100)))</f>
        <v/>
      </c>
      <c r="X12" s="4">
        <f>IF(OR(S12&lt;&gt;"OK",T12="",T12&lt;=0,Q12=""),0,ROUND(IFERROR(INDEX(Matrix!$B$2:$AW$19,MATCH(V12,Matrix!$A$2:$A$19,0),MATCH(MIN(48,MAX(1,T12)),Matrix!$B$1:$AW$1,0)),0)*G12*W12,0))</f>
        <v/>
      </c>
      <c r="Y12" s="4">
        <f>X12</f>
        <v/>
      </c>
      <c r="Z12" s="4">
        <f>IF(OR(S12&lt;&gt;"OK",T12="",T12&lt;=0),0,ROUND(T12*H12*IF(R12="",1,MAX(0.5,MIN(2,1+(R12-I12)))),0))</f>
        <v/>
      </c>
      <c r="AA12" s="4">
        <f>ROUND(X12/1000,2)</f>
        <v/>
      </c>
      <c r="AB12" s="4">
        <f>ROUND(Y12/1000,2)</f>
        <v/>
      </c>
      <c r="AC12" s="4">
        <f>ROUND(Z12/1000,2)</f>
        <v/>
      </c>
      <c r="AD12" s="4">
        <f>IF(S12&lt;&gt;"OK","⚠ "&amp;S12&amp;" — re-measure, no dose until the two meters agree",IF(J12="","— no reading —",IF(T12&lt;=0,"Level OK — add nothing",IF(AND(Q12&lt;&gt;"",Q12&gt;2.35),"EC "&amp;Q12&amp;" too high — add "&amp;U12&amp;" L water only, no A/B; re-check","Add "&amp;U12&amp;" L "&amp;LOWER(O12)&amp;IF(O12="Mix"," ("&amp;P12&amp;"% over-tank)","")&amp;" water · A "&amp;X12&amp;" cc · B "&amp;Y12&amp;" cc · C "&amp;Z12&amp;" cc"))))</f>
        <v/>
      </c>
    </row>
    <row r="13">
      <c r="A13" s="2" t="inlineStr">
        <is>
          <t>PRJ11-B</t>
        </is>
      </c>
      <c r="B13" s="2" t="inlineStr">
        <is>
          <t>Room PRJ11</t>
        </is>
      </c>
      <c r="C13" s="2" t="inlineStr">
        <is>
          <t>PRJ11</t>
        </is>
      </c>
      <c r="D13" s="2" t="n">
        <v>110</v>
      </c>
      <c r="E13" s="2" t="n">
        <v>123</v>
      </c>
      <c r="F13" s="2" t="n">
        <v>100</v>
      </c>
      <c r="G13" s="2" t="n">
        <v>1</v>
      </c>
      <c r="H13" s="2">
        <f>Settings!$B$4</f>
        <v/>
      </c>
      <c r="I13" s="2">
        <f>Settings!$B$5</f>
        <v/>
      </c>
      <c r="J13" s="3" t="n"/>
      <c r="K13" s="3" t="n"/>
      <c r="L13" s="3" t="n"/>
      <c r="M13" s="3" t="n"/>
      <c r="N13" s="3" t="n"/>
      <c r="O13" s="3" t="inlineStr">
        <is>
          <t>Pure</t>
        </is>
      </c>
      <c r="P13" s="3" t="n">
        <v>0</v>
      </c>
      <c r="Q13" s="4">
        <f>IF(AND(K13="",L13=""),"",IF(OR(K13="",L13=""),MAX(K13,L13),IF(ABS(K13-L13)&lt;=Settings!$B$6,ROUND(AVERAGE(K13,L13),2),"")))</f>
        <v/>
      </c>
      <c r="R13" s="4">
        <f>IF(AND(M13="",N13=""),"",IF(OR(M13="",N13=""),MAX(M13,N13),IF(ABS(M13-N13)&lt;=Settings!$B$7,ROUND(AVERAGE(M13,N13),2),"")))</f>
        <v/>
      </c>
      <c r="S13" s="4">
        <f>IF(AND(K13&lt;&gt;"",L13&lt;&gt;"",ABS(K13-L13)&gt;Settings!$B$6),"CALIBRATE EC meters (differ "&amp;ROUND(ABS(K13-L13),2)&amp;")",IF(AND(M13&lt;&gt;"",N13&lt;&gt;"",ABS(M13-N13)&gt;Settings!$B$7),"CALIBRATE pH meters (differ "&amp;ROUND(ABS(M13-N13),2)&amp;")","OK"))</f>
        <v/>
      </c>
      <c r="T13" s="4">
        <f>IF(J13="","",MAX(0,ROUND(F13-J13,0)))</f>
        <v/>
      </c>
      <c r="U13" s="4">
        <f>IF(T13="","",ROUND(D13*E13*T13/1000,0))</f>
        <v/>
      </c>
      <c r="V13" s="4">
        <f>IF(Q13="","",IF(Q13&gt;2.35,"above 2.35 — dilute",TEXT(MAX(1.5,MROUND(Q13,0.05)),"0.00")))</f>
        <v/>
      </c>
      <c r="W13" s="4">
        <f>IF(O13="Pure",1,IF(O13="Over-tank",MAX(0,1-Settings!$B$3/Settings!$B$2),MAX(0,1-Settings!$B$3/Settings!$B$2*P13/100)))</f>
        <v/>
      </c>
      <c r="X13" s="4">
        <f>IF(OR(S13&lt;&gt;"OK",T13="",T13&lt;=0,Q13=""),0,ROUND(IFERROR(INDEX(Matrix!$B$2:$AW$19,MATCH(V13,Matrix!$A$2:$A$19,0),MATCH(MIN(48,MAX(1,T13)),Matrix!$B$1:$AW$1,0)),0)*G13*W13,0))</f>
        <v/>
      </c>
      <c r="Y13" s="4">
        <f>X13</f>
        <v/>
      </c>
      <c r="Z13" s="4">
        <f>IF(OR(S13&lt;&gt;"OK",T13="",T13&lt;=0),0,ROUND(T13*H13*IF(R13="",1,MAX(0.5,MIN(2,1+(R13-I13)))),0))</f>
        <v/>
      </c>
      <c r="AA13" s="4">
        <f>ROUND(X13/1000,2)</f>
        <v/>
      </c>
      <c r="AB13" s="4">
        <f>ROUND(Y13/1000,2)</f>
        <v/>
      </c>
      <c r="AC13" s="4">
        <f>ROUND(Z13/1000,2)</f>
        <v/>
      </c>
      <c r="AD13" s="4">
        <f>IF(S13&lt;&gt;"OK","⚠ "&amp;S13&amp;" — re-measure, no dose until the two meters agree",IF(J13="","— no reading —",IF(T13&lt;=0,"Level OK — add nothing",IF(AND(Q13&lt;&gt;"",Q13&gt;2.35),"EC "&amp;Q13&amp;" too high — add "&amp;U13&amp;" L water only, no A/B; re-check","Add "&amp;U13&amp;" L "&amp;LOWER(O13)&amp;IF(O13="Mix"," ("&amp;P13&amp;"% over-tank)","")&amp;" water · A "&amp;X13&amp;" cc · B "&amp;Y13&amp;" cc · C "&amp;Z13&amp;" cc"))))</f>
        <v/>
      </c>
    </row>
    <row r="14">
      <c r="A14" s="2" t="inlineStr">
        <is>
          <t>PRJ12-A</t>
        </is>
      </c>
      <c r="B14" s="2" t="inlineStr">
        <is>
          <t>Room PRJ12</t>
        </is>
      </c>
      <c r="C14" s="2" t="inlineStr">
        <is>
          <t>PRJ12</t>
        </is>
      </c>
      <c r="D14" s="2" t="n">
        <v>200</v>
      </c>
      <c r="E14" s="2" t="n">
        <v>120</v>
      </c>
      <c r="F14" s="2" t="n">
        <v>110</v>
      </c>
      <c r="G14" s="2" t="n">
        <v>1</v>
      </c>
      <c r="H14" s="2">
        <f>Settings!$B$4</f>
        <v/>
      </c>
      <c r="I14" s="2">
        <f>Settings!$B$5</f>
        <v/>
      </c>
      <c r="J14" s="3" t="n"/>
      <c r="K14" s="3" t="n"/>
      <c r="L14" s="3" t="n"/>
      <c r="M14" s="3" t="n"/>
      <c r="N14" s="3" t="n"/>
      <c r="O14" s="3" t="inlineStr">
        <is>
          <t>Pure</t>
        </is>
      </c>
      <c r="P14" s="3" t="n">
        <v>0</v>
      </c>
      <c r="Q14" s="4">
        <f>IF(AND(K14="",L14=""),"",IF(OR(K14="",L14=""),MAX(K14,L14),IF(ABS(K14-L14)&lt;=Settings!$B$6,ROUND(AVERAGE(K14,L14),2),"")))</f>
        <v/>
      </c>
      <c r="R14" s="4">
        <f>IF(AND(M14="",N14=""),"",IF(OR(M14="",N14=""),MAX(M14,N14),IF(ABS(M14-N14)&lt;=Settings!$B$7,ROUND(AVERAGE(M14,N14),2),"")))</f>
        <v/>
      </c>
      <c r="S14" s="4">
        <f>IF(AND(K14&lt;&gt;"",L14&lt;&gt;"",ABS(K14-L14)&gt;Settings!$B$6),"CALIBRATE EC meters (differ "&amp;ROUND(ABS(K14-L14),2)&amp;")",IF(AND(M14&lt;&gt;"",N14&lt;&gt;"",ABS(M14-N14)&gt;Settings!$B$7),"CALIBRATE pH meters (differ "&amp;ROUND(ABS(M14-N14),2)&amp;")","OK"))</f>
        <v/>
      </c>
      <c r="T14" s="4">
        <f>IF(J14="","",MAX(0,ROUND(F14-J14,0)))</f>
        <v/>
      </c>
      <c r="U14" s="4">
        <f>IF(T14="","",ROUND(D14*E14*T14/1000,0))</f>
        <v/>
      </c>
      <c r="V14" s="4">
        <f>IF(Q14="","",IF(Q14&gt;2.35,"above 2.35 — dilute",TEXT(MAX(1.5,MROUND(Q14,0.05)),"0.00")))</f>
        <v/>
      </c>
      <c r="W14" s="4">
        <f>IF(O14="Pure",1,IF(O14="Over-tank",MAX(0,1-Settings!$B$3/Settings!$B$2),MAX(0,1-Settings!$B$3/Settings!$B$2*P14/100)))</f>
        <v/>
      </c>
      <c r="X14" s="4">
        <f>IF(OR(S14&lt;&gt;"OK",T14="",T14&lt;=0,Q14=""),0,ROUND(IFERROR(INDEX(Matrix!$B$2:$AW$19,MATCH(V14,Matrix!$A$2:$A$19,0),MATCH(MIN(48,MAX(1,T14)),Matrix!$B$1:$AW$1,0)),0)*G14*W14,0))</f>
        <v/>
      </c>
      <c r="Y14" s="4">
        <f>X14</f>
        <v/>
      </c>
      <c r="Z14" s="4">
        <f>IF(OR(S14&lt;&gt;"OK",T14="",T14&lt;=0),0,ROUND(T14*H14*IF(R14="",1,MAX(0.5,MIN(2,1+(R14-I14)))),0))</f>
        <v/>
      </c>
      <c r="AA14" s="4">
        <f>ROUND(X14/1000,2)</f>
        <v/>
      </c>
      <c r="AB14" s="4">
        <f>ROUND(Y14/1000,2)</f>
        <v/>
      </c>
      <c r="AC14" s="4">
        <f>ROUND(Z14/1000,2)</f>
        <v/>
      </c>
      <c r="AD14" s="4">
        <f>IF(S14&lt;&gt;"OK","⚠ "&amp;S14&amp;" — re-measure, no dose until the two meters agree",IF(J14="","— no reading —",IF(T14&lt;=0,"Level OK — add nothing",IF(AND(Q14&lt;&gt;"",Q14&gt;2.35),"EC "&amp;Q14&amp;" too high — add "&amp;U14&amp;" L water only, no A/B; re-check","Add "&amp;U14&amp;" L "&amp;LOWER(O14)&amp;IF(O14="Mix"," ("&amp;P14&amp;"% over-tank)","")&amp;" water · A "&amp;X14&amp;" cc · B "&amp;Y14&amp;" cc · C "&amp;Z14&amp;" cc"))))</f>
        <v/>
      </c>
    </row>
    <row r="15">
      <c r="A15" s="2" t="inlineStr">
        <is>
          <t>PRJ12-B</t>
        </is>
      </c>
      <c r="B15" s="2" t="inlineStr">
        <is>
          <t>Room PRJ12</t>
        </is>
      </c>
      <c r="C15" s="2" t="inlineStr">
        <is>
          <t>PRJ12</t>
        </is>
      </c>
      <c r="D15" s="2" t="n">
        <v>200</v>
      </c>
      <c r="E15" s="2" t="n">
        <v>120</v>
      </c>
      <c r="F15" s="2" t="n">
        <v>110</v>
      </c>
      <c r="G15" s="2" t="n">
        <v>1</v>
      </c>
      <c r="H15" s="2">
        <f>Settings!$B$4</f>
        <v/>
      </c>
      <c r="I15" s="2">
        <f>Settings!$B$5</f>
        <v/>
      </c>
      <c r="J15" s="3" t="n"/>
      <c r="K15" s="3" t="n"/>
      <c r="L15" s="3" t="n"/>
      <c r="M15" s="3" t="n"/>
      <c r="N15" s="3" t="n"/>
      <c r="O15" s="3" t="inlineStr">
        <is>
          <t>Pure</t>
        </is>
      </c>
      <c r="P15" s="3" t="n">
        <v>0</v>
      </c>
      <c r="Q15" s="4">
        <f>IF(AND(K15="",L15=""),"",IF(OR(K15="",L15=""),MAX(K15,L15),IF(ABS(K15-L15)&lt;=Settings!$B$6,ROUND(AVERAGE(K15,L15),2),"")))</f>
        <v/>
      </c>
      <c r="R15" s="4">
        <f>IF(AND(M15="",N15=""),"",IF(OR(M15="",N15=""),MAX(M15,N15),IF(ABS(M15-N15)&lt;=Settings!$B$7,ROUND(AVERAGE(M15,N15),2),"")))</f>
        <v/>
      </c>
      <c r="S15" s="4">
        <f>IF(AND(K15&lt;&gt;"",L15&lt;&gt;"",ABS(K15-L15)&gt;Settings!$B$6),"CALIBRATE EC meters (differ "&amp;ROUND(ABS(K15-L15),2)&amp;")",IF(AND(M15&lt;&gt;"",N15&lt;&gt;"",ABS(M15-N15)&gt;Settings!$B$7),"CALIBRATE pH meters (differ "&amp;ROUND(ABS(M15-N15),2)&amp;")","OK"))</f>
        <v/>
      </c>
      <c r="T15" s="4">
        <f>IF(J15="","",MAX(0,ROUND(F15-J15,0)))</f>
        <v/>
      </c>
      <c r="U15" s="4">
        <f>IF(T15="","",ROUND(D15*E15*T15/1000,0))</f>
        <v/>
      </c>
      <c r="V15" s="4">
        <f>IF(Q15="","",IF(Q15&gt;2.35,"above 2.35 — dilute",TEXT(MAX(1.5,MROUND(Q15,0.05)),"0.00")))</f>
        <v/>
      </c>
      <c r="W15" s="4">
        <f>IF(O15="Pure",1,IF(O15="Over-tank",MAX(0,1-Settings!$B$3/Settings!$B$2),MAX(0,1-Settings!$B$3/Settings!$B$2*P15/100)))</f>
        <v/>
      </c>
      <c r="X15" s="4">
        <f>IF(OR(S15&lt;&gt;"OK",T15="",T15&lt;=0,Q15=""),0,ROUND(IFERROR(INDEX(Matrix!$B$2:$AW$19,MATCH(V15,Matrix!$A$2:$A$19,0),MATCH(MIN(48,MAX(1,T15)),Matrix!$B$1:$AW$1,0)),0)*G15*W15,0))</f>
        <v/>
      </c>
      <c r="Y15" s="4">
        <f>X15</f>
        <v/>
      </c>
      <c r="Z15" s="4">
        <f>IF(OR(S15&lt;&gt;"OK",T15="",T15&lt;=0),0,ROUND(T15*H15*IF(R15="",1,MAX(0.5,MIN(2,1+(R15-I15)))),0))</f>
        <v/>
      </c>
      <c r="AA15" s="4">
        <f>ROUND(X15/1000,2)</f>
        <v/>
      </c>
      <c r="AB15" s="4">
        <f>ROUND(Y15/1000,2)</f>
        <v/>
      </c>
      <c r="AC15" s="4">
        <f>ROUND(Z15/1000,2)</f>
        <v/>
      </c>
      <c r="AD15" s="4">
        <f>IF(S15&lt;&gt;"OK","⚠ "&amp;S15&amp;" — re-measure, no dose until the two meters agree",IF(J15="","— no reading —",IF(T15&lt;=0,"Level OK — add nothing",IF(AND(Q15&lt;&gt;"",Q15&gt;2.35),"EC "&amp;Q15&amp;" too high — add "&amp;U15&amp;" L water only, no A/B; re-check","Add "&amp;U15&amp;" L "&amp;LOWER(O15)&amp;IF(O15="Mix"," ("&amp;P15&amp;"% over-tank)","")&amp;" water · A "&amp;X15&amp;" cc · B "&amp;Y15&amp;" cc · C "&amp;Z15&amp;" cc"))))</f>
        <v/>
      </c>
    </row>
    <row r="16">
      <c r="A16" s="2" t="inlineStr">
        <is>
          <t>PRJ12-C</t>
        </is>
      </c>
      <c r="B16" s="2" t="inlineStr">
        <is>
          <t>Room PRJ12</t>
        </is>
      </c>
      <c r="C16" s="2" t="inlineStr">
        <is>
          <t>PRJ12</t>
        </is>
      </c>
      <c r="D16" s="2" t="n">
        <v>200</v>
      </c>
      <c r="E16" s="2" t="n">
        <v>120</v>
      </c>
      <c r="F16" s="2" t="n">
        <v>110</v>
      </c>
      <c r="G16" s="2" t="n">
        <v>1</v>
      </c>
      <c r="H16" s="2">
        <f>Settings!$B$4</f>
        <v/>
      </c>
      <c r="I16" s="2">
        <f>Settings!$B$5</f>
        <v/>
      </c>
      <c r="J16" s="3" t="n"/>
      <c r="K16" s="3" t="n"/>
      <c r="L16" s="3" t="n"/>
      <c r="M16" s="3" t="n"/>
      <c r="N16" s="3" t="n"/>
      <c r="O16" s="3" t="inlineStr">
        <is>
          <t>Pure</t>
        </is>
      </c>
      <c r="P16" s="3" t="n">
        <v>0</v>
      </c>
      <c r="Q16" s="4">
        <f>IF(AND(K16="",L16=""),"",IF(OR(K16="",L16=""),MAX(K16,L16),IF(ABS(K16-L16)&lt;=Settings!$B$6,ROUND(AVERAGE(K16,L16),2),"")))</f>
        <v/>
      </c>
      <c r="R16" s="4">
        <f>IF(AND(M16="",N16=""),"",IF(OR(M16="",N16=""),MAX(M16,N16),IF(ABS(M16-N16)&lt;=Settings!$B$7,ROUND(AVERAGE(M16,N16),2),"")))</f>
        <v/>
      </c>
      <c r="S16" s="4">
        <f>IF(AND(K16&lt;&gt;"",L16&lt;&gt;"",ABS(K16-L16)&gt;Settings!$B$6),"CALIBRATE EC meters (differ "&amp;ROUND(ABS(K16-L16),2)&amp;")",IF(AND(M16&lt;&gt;"",N16&lt;&gt;"",ABS(M16-N16)&gt;Settings!$B$7),"CALIBRATE pH meters (differ "&amp;ROUND(ABS(M16-N16),2)&amp;")","OK"))</f>
        <v/>
      </c>
      <c r="T16" s="4">
        <f>IF(J16="","",MAX(0,ROUND(F16-J16,0)))</f>
        <v/>
      </c>
      <c r="U16" s="4">
        <f>IF(T16="","",ROUND(D16*E16*T16/1000,0))</f>
        <v/>
      </c>
      <c r="V16" s="4">
        <f>IF(Q16="","",IF(Q16&gt;2.35,"above 2.35 — dilute",TEXT(MAX(1.5,MROUND(Q16,0.05)),"0.00")))</f>
        <v/>
      </c>
      <c r="W16" s="4">
        <f>IF(O16="Pure",1,IF(O16="Over-tank",MAX(0,1-Settings!$B$3/Settings!$B$2),MAX(0,1-Settings!$B$3/Settings!$B$2*P16/100)))</f>
        <v/>
      </c>
      <c r="X16" s="4">
        <f>IF(OR(S16&lt;&gt;"OK",T16="",T16&lt;=0,Q16=""),0,ROUND(IFERROR(INDEX(Matrix!$B$2:$AW$19,MATCH(V16,Matrix!$A$2:$A$19,0),MATCH(MIN(48,MAX(1,T16)),Matrix!$B$1:$AW$1,0)),0)*G16*W16,0))</f>
        <v/>
      </c>
      <c r="Y16" s="4">
        <f>X16</f>
        <v/>
      </c>
      <c r="Z16" s="4">
        <f>IF(OR(S16&lt;&gt;"OK",T16="",T16&lt;=0),0,ROUND(T16*H16*IF(R16="",1,MAX(0.5,MIN(2,1+(R16-I16)))),0))</f>
        <v/>
      </c>
      <c r="AA16" s="4">
        <f>ROUND(X16/1000,2)</f>
        <v/>
      </c>
      <c r="AB16" s="4">
        <f>ROUND(Y16/1000,2)</f>
        <v/>
      </c>
      <c r="AC16" s="4">
        <f>ROUND(Z16/1000,2)</f>
        <v/>
      </c>
      <c r="AD16" s="4">
        <f>IF(S16&lt;&gt;"OK","⚠ "&amp;S16&amp;" — re-measure, no dose until the two meters agree",IF(J16="","— no reading —",IF(T16&lt;=0,"Level OK — add nothing",IF(AND(Q16&lt;&gt;"",Q16&gt;2.35),"EC "&amp;Q16&amp;" too high — add "&amp;U16&amp;" L water only, no A/B; re-check","Add "&amp;U16&amp;" L "&amp;LOWER(O16)&amp;IF(O16="Mix"," ("&amp;P16&amp;"% over-tank)","")&amp;" water · A "&amp;X16&amp;" cc · B "&amp;Y16&amp;" cc · C "&amp;Z16&amp;" cc"))))</f>
        <v/>
      </c>
    </row>
    <row r="17">
      <c r="A17" s="2" t="inlineStr">
        <is>
          <t>PRJ12-D</t>
        </is>
      </c>
      <c r="B17" s="2" t="inlineStr">
        <is>
          <t>Room PRJ12</t>
        </is>
      </c>
      <c r="C17" s="2" t="inlineStr">
        <is>
          <t>PRJ12</t>
        </is>
      </c>
      <c r="D17" s="2" t="n">
        <v>200</v>
      </c>
      <c r="E17" s="2" t="n">
        <v>120</v>
      </c>
      <c r="F17" s="2" t="n">
        <v>110</v>
      </c>
      <c r="G17" s="2" t="n">
        <v>1</v>
      </c>
      <c r="H17" s="2">
        <f>Settings!$B$4</f>
        <v/>
      </c>
      <c r="I17" s="2">
        <f>Settings!$B$5</f>
        <v/>
      </c>
      <c r="J17" s="3" t="n"/>
      <c r="K17" s="3" t="n"/>
      <c r="L17" s="3" t="n"/>
      <c r="M17" s="3" t="n"/>
      <c r="N17" s="3" t="n"/>
      <c r="O17" s="3" t="inlineStr">
        <is>
          <t>Pure</t>
        </is>
      </c>
      <c r="P17" s="3" t="n">
        <v>0</v>
      </c>
      <c r="Q17" s="4">
        <f>IF(AND(K17="",L17=""),"",IF(OR(K17="",L17=""),MAX(K17,L17),IF(ABS(K17-L17)&lt;=Settings!$B$6,ROUND(AVERAGE(K17,L17),2),"")))</f>
        <v/>
      </c>
      <c r="R17" s="4">
        <f>IF(AND(M17="",N17=""),"",IF(OR(M17="",N17=""),MAX(M17,N17),IF(ABS(M17-N17)&lt;=Settings!$B$7,ROUND(AVERAGE(M17,N17),2),"")))</f>
        <v/>
      </c>
      <c r="S17" s="4">
        <f>IF(AND(K17&lt;&gt;"",L17&lt;&gt;"",ABS(K17-L17)&gt;Settings!$B$6),"CALIBRATE EC meters (differ "&amp;ROUND(ABS(K17-L17),2)&amp;")",IF(AND(M17&lt;&gt;"",N17&lt;&gt;"",ABS(M17-N17)&gt;Settings!$B$7),"CALIBRATE pH meters (differ "&amp;ROUND(ABS(M17-N17),2)&amp;")","OK"))</f>
        <v/>
      </c>
      <c r="T17" s="4">
        <f>IF(J17="","",MAX(0,ROUND(F17-J17,0)))</f>
        <v/>
      </c>
      <c r="U17" s="4">
        <f>IF(T17="","",ROUND(D17*E17*T17/1000,0))</f>
        <v/>
      </c>
      <c r="V17" s="4">
        <f>IF(Q17="","",IF(Q17&gt;2.35,"above 2.35 — dilute",TEXT(MAX(1.5,MROUND(Q17,0.05)),"0.00")))</f>
        <v/>
      </c>
      <c r="W17" s="4">
        <f>IF(O17="Pure",1,IF(O17="Over-tank",MAX(0,1-Settings!$B$3/Settings!$B$2),MAX(0,1-Settings!$B$3/Settings!$B$2*P17/100)))</f>
        <v/>
      </c>
      <c r="X17" s="4">
        <f>IF(OR(S17&lt;&gt;"OK",T17="",T17&lt;=0,Q17=""),0,ROUND(IFERROR(INDEX(Matrix!$B$2:$AW$19,MATCH(V17,Matrix!$A$2:$A$19,0),MATCH(MIN(48,MAX(1,T17)),Matrix!$B$1:$AW$1,0)),0)*G17*W17,0))</f>
        <v/>
      </c>
      <c r="Y17" s="4">
        <f>X17</f>
        <v/>
      </c>
      <c r="Z17" s="4">
        <f>IF(OR(S17&lt;&gt;"OK",T17="",T17&lt;=0),0,ROUND(T17*H17*IF(R17="",1,MAX(0.5,MIN(2,1+(R17-I17)))),0))</f>
        <v/>
      </c>
      <c r="AA17" s="4">
        <f>ROUND(X17/1000,2)</f>
        <v/>
      </c>
      <c r="AB17" s="4">
        <f>ROUND(Y17/1000,2)</f>
        <v/>
      </c>
      <c r="AC17" s="4">
        <f>ROUND(Z17/1000,2)</f>
        <v/>
      </c>
      <c r="AD17" s="4">
        <f>IF(S17&lt;&gt;"OK","⚠ "&amp;S17&amp;" — re-measure, no dose until the two meters agree",IF(J17="","— no reading —",IF(T17&lt;=0,"Level OK — add nothing",IF(AND(Q17&lt;&gt;"",Q17&gt;2.35),"EC "&amp;Q17&amp;" too high — add "&amp;U17&amp;" L water only, no A/B; re-check","Add "&amp;U17&amp;" L "&amp;LOWER(O17)&amp;IF(O17="Mix"," ("&amp;P17&amp;"% over-tank)","")&amp;" water · A "&amp;X17&amp;" cc · B "&amp;Y17&amp;" cc · C "&amp;Z17&amp;" cc"))))</f>
        <v/>
      </c>
    </row>
    <row r="18">
      <c r="A18" s="2" t="inlineStr">
        <is>
          <t>PRJ12-E</t>
        </is>
      </c>
      <c r="B18" s="2" t="inlineStr">
        <is>
          <t>Room PRJ12</t>
        </is>
      </c>
      <c r="C18" s="2" t="inlineStr">
        <is>
          <t>PRJ12</t>
        </is>
      </c>
      <c r="D18" s="2" t="n">
        <v>200</v>
      </c>
      <c r="E18" s="2" t="n">
        <v>120</v>
      </c>
      <c r="F18" s="2" t="n">
        <v>110</v>
      </c>
      <c r="G18" s="2" t="n">
        <v>1</v>
      </c>
      <c r="H18" s="2">
        <f>Settings!$B$4</f>
        <v/>
      </c>
      <c r="I18" s="2">
        <f>Settings!$B$5</f>
        <v/>
      </c>
      <c r="J18" s="3" t="n"/>
      <c r="K18" s="3" t="n"/>
      <c r="L18" s="3" t="n"/>
      <c r="M18" s="3" t="n"/>
      <c r="N18" s="3" t="n"/>
      <c r="O18" s="3" t="inlineStr">
        <is>
          <t>Pure</t>
        </is>
      </c>
      <c r="P18" s="3" t="n">
        <v>0</v>
      </c>
      <c r="Q18" s="4">
        <f>IF(AND(K18="",L18=""),"",IF(OR(K18="",L18=""),MAX(K18,L18),IF(ABS(K18-L18)&lt;=Settings!$B$6,ROUND(AVERAGE(K18,L18),2),"")))</f>
        <v/>
      </c>
      <c r="R18" s="4">
        <f>IF(AND(M18="",N18=""),"",IF(OR(M18="",N18=""),MAX(M18,N18),IF(ABS(M18-N18)&lt;=Settings!$B$7,ROUND(AVERAGE(M18,N18),2),"")))</f>
        <v/>
      </c>
      <c r="S18" s="4">
        <f>IF(AND(K18&lt;&gt;"",L18&lt;&gt;"",ABS(K18-L18)&gt;Settings!$B$6),"CALIBRATE EC meters (differ "&amp;ROUND(ABS(K18-L18),2)&amp;")",IF(AND(M18&lt;&gt;"",N18&lt;&gt;"",ABS(M18-N18)&gt;Settings!$B$7),"CALIBRATE pH meters (differ "&amp;ROUND(ABS(M18-N18),2)&amp;")","OK"))</f>
        <v/>
      </c>
      <c r="T18" s="4">
        <f>IF(J18="","",MAX(0,ROUND(F18-J18,0)))</f>
        <v/>
      </c>
      <c r="U18" s="4">
        <f>IF(T18="","",ROUND(D18*E18*T18/1000,0))</f>
        <v/>
      </c>
      <c r="V18" s="4">
        <f>IF(Q18="","",IF(Q18&gt;2.35,"above 2.35 — dilute",TEXT(MAX(1.5,MROUND(Q18,0.05)),"0.00")))</f>
        <v/>
      </c>
      <c r="W18" s="4">
        <f>IF(O18="Pure",1,IF(O18="Over-tank",MAX(0,1-Settings!$B$3/Settings!$B$2),MAX(0,1-Settings!$B$3/Settings!$B$2*P18/100)))</f>
        <v/>
      </c>
      <c r="X18" s="4">
        <f>IF(OR(S18&lt;&gt;"OK",T18="",T18&lt;=0,Q18=""),0,ROUND(IFERROR(INDEX(Matrix!$B$2:$AW$19,MATCH(V18,Matrix!$A$2:$A$19,0),MATCH(MIN(48,MAX(1,T18)),Matrix!$B$1:$AW$1,0)),0)*G18*W18,0))</f>
        <v/>
      </c>
      <c r="Y18" s="4">
        <f>X18</f>
        <v/>
      </c>
      <c r="Z18" s="4">
        <f>IF(OR(S18&lt;&gt;"OK",T18="",T18&lt;=0),0,ROUND(T18*H18*IF(R18="",1,MAX(0.5,MIN(2,1+(R18-I18)))),0))</f>
        <v/>
      </c>
      <c r="AA18" s="4">
        <f>ROUND(X18/1000,2)</f>
        <v/>
      </c>
      <c r="AB18" s="4">
        <f>ROUND(Y18/1000,2)</f>
        <v/>
      </c>
      <c r="AC18" s="4">
        <f>ROUND(Z18/1000,2)</f>
        <v/>
      </c>
      <c r="AD18" s="4">
        <f>IF(S18&lt;&gt;"OK","⚠ "&amp;S18&amp;" — re-measure, no dose until the two meters agree",IF(J18="","— no reading —",IF(T18&lt;=0,"Level OK — add nothing",IF(AND(Q18&lt;&gt;"",Q18&gt;2.35),"EC "&amp;Q18&amp;" too high — add "&amp;U18&amp;" L water only, no A/B; re-check","Add "&amp;U18&amp;" L "&amp;LOWER(O18)&amp;IF(O18="Mix"," ("&amp;P18&amp;"% over-tank)","")&amp;" water · A "&amp;X18&amp;" cc · B "&amp;Y18&amp;" cc · C "&amp;Z18&amp;" cc"))))</f>
        <v/>
      </c>
    </row>
    <row r="19">
      <c r="A19" s="2" t="inlineStr">
        <is>
          <t>PRJ12-F</t>
        </is>
      </c>
      <c r="B19" s="2" t="inlineStr">
        <is>
          <t>Room PRJ12</t>
        </is>
      </c>
      <c r="C19" s="2" t="inlineStr">
        <is>
          <t>PRJ12</t>
        </is>
      </c>
      <c r="D19" s="2" t="n">
        <v>200</v>
      </c>
      <c r="E19" s="2" t="n">
        <v>120</v>
      </c>
      <c r="F19" s="2" t="n">
        <v>110</v>
      </c>
      <c r="G19" s="2" t="n">
        <v>1</v>
      </c>
      <c r="H19" s="2">
        <f>Settings!$B$4</f>
        <v/>
      </c>
      <c r="I19" s="2">
        <f>Settings!$B$5</f>
        <v/>
      </c>
      <c r="J19" s="3" t="n"/>
      <c r="K19" s="3" t="n"/>
      <c r="L19" s="3" t="n"/>
      <c r="M19" s="3" t="n"/>
      <c r="N19" s="3" t="n"/>
      <c r="O19" s="3" t="inlineStr">
        <is>
          <t>Pure</t>
        </is>
      </c>
      <c r="P19" s="3" t="n">
        <v>0</v>
      </c>
      <c r="Q19" s="4">
        <f>IF(AND(K19="",L19=""),"",IF(OR(K19="",L19=""),MAX(K19,L19),IF(ABS(K19-L19)&lt;=Settings!$B$6,ROUND(AVERAGE(K19,L19),2),"")))</f>
        <v/>
      </c>
      <c r="R19" s="4">
        <f>IF(AND(M19="",N19=""),"",IF(OR(M19="",N19=""),MAX(M19,N19),IF(ABS(M19-N19)&lt;=Settings!$B$7,ROUND(AVERAGE(M19,N19),2),"")))</f>
        <v/>
      </c>
      <c r="S19" s="4">
        <f>IF(AND(K19&lt;&gt;"",L19&lt;&gt;"",ABS(K19-L19)&gt;Settings!$B$6),"CALIBRATE EC meters (differ "&amp;ROUND(ABS(K19-L19),2)&amp;")",IF(AND(M19&lt;&gt;"",N19&lt;&gt;"",ABS(M19-N19)&gt;Settings!$B$7),"CALIBRATE pH meters (differ "&amp;ROUND(ABS(M19-N19),2)&amp;")","OK"))</f>
        <v/>
      </c>
      <c r="T19" s="4">
        <f>IF(J19="","",MAX(0,ROUND(F19-J19,0)))</f>
        <v/>
      </c>
      <c r="U19" s="4">
        <f>IF(T19="","",ROUND(D19*E19*T19/1000,0))</f>
        <v/>
      </c>
      <c r="V19" s="4">
        <f>IF(Q19="","",IF(Q19&gt;2.35,"above 2.35 — dilute",TEXT(MAX(1.5,MROUND(Q19,0.05)),"0.00")))</f>
        <v/>
      </c>
      <c r="W19" s="4">
        <f>IF(O19="Pure",1,IF(O19="Over-tank",MAX(0,1-Settings!$B$3/Settings!$B$2),MAX(0,1-Settings!$B$3/Settings!$B$2*P19/100)))</f>
        <v/>
      </c>
      <c r="X19" s="4">
        <f>IF(OR(S19&lt;&gt;"OK",T19="",T19&lt;=0,Q19=""),0,ROUND(IFERROR(INDEX(Matrix!$B$2:$AW$19,MATCH(V19,Matrix!$A$2:$A$19,0),MATCH(MIN(48,MAX(1,T19)),Matrix!$B$1:$AW$1,0)),0)*G19*W19,0))</f>
        <v/>
      </c>
      <c r="Y19" s="4">
        <f>X19</f>
        <v/>
      </c>
      <c r="Z19" s="4">
        <f>IF(OR(S19&lt;&gt;"OK",T19="",T19&lt;=0),0,ROUND(T19*H19*IF(R19="",1,MAX(0.5,MIN(2,1+(R19-I19)))),0))</f>
        <v/>
      </c>
      <c r="AA19" s="4">
        <f>ROUND(X19/1000,2)</f>
        <v/>
      </c>
      <c r="AB19" s="4">
        <f>ROUND(Y19/1000,2)</f>
        <v/>
      </c>
      <c r="AC19" s="4">
        <f>ROUND(Z19/1000,2)</f>
        <v/>
      </c>
      <c r="AD19" s="4">
        <f>IF(S19&lt;&gt;"OK","⚠ "&amp;S19&amp;" — re-measure, no dose until the two meters agree",IF(J19="","— no reading —",IF(T19&lt;=0,"Level OK — add nothing",IF(AND(Q19&lt;&gt;"",Q19&gt;2.35),"EC "&amp;Q19&amp;" too high — add "&amp;U19&amp;" L water only, no A/B; re-check","Add "&amp;U19&amp;" L "&amp;LOWER(O19)&amp;IF(O19="Mix"," ("&amp;P19&amp;"% over-tank)","")&amp;" water · A "&amp;X19&amp;" cc · B "&amp;Y19&amp;" cc · C "&amp;Z19&amp;" cc"))))</f>
        <v/>
      </c>
    </row>
    <row r="20">
      <c r="A20" s="2" t="inlineStr">
        <is>
          <t>PRJ15-A</t>
        </is>
      </c>
      <c r="B20" s="2" t="inlineStr">
        <is>
          <t>Room PRJ15</t>
        </is>
      </c>
      <c r="C20" s="2" t="inlineStr">
        <is>
          <t>PRJ15</t>
        </is>
      </c>
      <c r="D20" s="2" t="n">
        <v>220</v>
      </c>
      <c r="E20" s="2" t="n">
        <v>130</v>
      </c>
      <c r="F20" s="2" t="n">
        <v>115</v>
      </c>
      <c r="G20" s="2" t="n">
        <v>1</v>
      </c>
      <c r="H20" s="2">
        <f>Settings!$B$4</f>
        <v/>
      </c>
      <c r="I20" s="2">
        <f>Settings!$B$5</f>
        <v/>
      </c>
      <c r="J20" s="3" t="n"/>
      <c r="K20" s="3" t="n"/>
      <c r="L20" s="3" t="n"/>
      <c r="M20" s="3" t="n"/>
      <c r="N20" s="3" t="n"/>
      <c r="O20" s="3" t="inlineStr">
        <is>
          <t>Pure</t>
        </is>
      </c>
      <c r="P20" s="3" t="n">
        <v>0</v>
      </c>
      <c r="Q20" s="4">
        <f>IF(AND(K20="",L20=""),"",IF(OR(K20="",L20=""),MAX(K20,L20),IF(ABS(K20-L20)&lt;=Settings!$B$6,ROUND(AVERAGE(K20,L20),2),"")))</f>
        <v/>
      </c>
      <c r="R20" s="4">
        <f>IF(AND(M20="",N20=""),"",IF(OR(M20="",N20=""),MAX(M20,N20),IF(ABS(M20-N20)&lt;=Settings!$B$7,ROUND(AVERAGE(M20,N20),2),"")))</f>
        <v/>
      </c>
      <c r="S20" s="4">
        <f>IF(AND(K20&lt;&gt;"",L20&lt;&gt;"",ABS(K20-L20)&gt;Settings!$B$6),"CALIBRATE EC meters (differ "&amp;ROUND(ABS(K20-L20),2)&amp;")",IF(AND(M20&lt;&gt;"",N20&lt;&gt;"",ABS(M20-N20)&gt;Settings!$B$7),"CALIBRATE pH meters (differ "&amp;ROUND(ABS(M20-N20),2)&amp;")","OK"))</f>
        <v/>
      </c>
      <c r="T20" s="4">
        <f>IF(J20="","",MAX(0,ROUND(F20-J20,0)))</f>
        <v/>
      </c>
      <c r="U20" s="4">
        <f>IF(T20="","",ROUND(D20*E20*T20/1000,0))</f>
        <v/>
      </c>
      <c r="V20" s="4">
        <f>IF(Q20="","",IF(Q20&gt;2.35,"above 2.35 — dilute",TEXT(MAX(1.5,MROUND(Q20,0.05)),"0.00")))</f>
        <v/>
      </c>
      <c r="W20" s="4">
        <f>IF(O20="Pure",1,IF(O20="Over-tank",MAX(0,1-Settings!$B$3/Settings!$B$2),MAX(0,1-Settings!$B$3/Settings!$B$2*P20/100)))</f>
        <v/>
      </c>
      <c r="X20" s="4">
        <f>IF(OR(S20&lt;&gt;"OK",T20="",T20&lt;=0,Q20=""),0,ROUND(IFERROR(INDEX(Matrix!$B$2:$AW$19,MATCH(V20,Matrix!$A$2:$A$19,0),MATCH(MIN(48,MAX(1,T20)),Matrix!$B$1:$AW$1,0)),0)*G20*W20,0))</f>
        <v/>
      </c>
      <c r="Y20" s="4">
        <f>X20</f>
        <v/>
      </c>
      <c r="Z20" s="4">
        <f>IF(OR(S20&lt;&gt;"OK",T20="",T20&lt;=0),0,ROUND(T20*H20*IF(R20="",1,MAX(0.5,MIN(2,1+(R20-I20)))),0))</f>
        <v/>
      </c>
      <c r="AA20" s="4">
        <f>ROUND(X20/1000,2)</f>
        <v/>
      </c>
      <c r="AB20" s="4">
        <f>ROUND(Y20/1000,2)</f>
        <v/>
      </c>
      <c r="AC20" s="4">
        <f>ROUND(Z20/1000,2)</f>
        <v/>
      </c>
      <c r="AD20" s="4">
        <f>IF(S20&lt;&gt;"OK","⚠ "&amp;S20&amp;" — re-measure, no dose until the two meters agree",IF(J20="","— no reading —",IF(T20&lt;=0,"Level OK — add nothing",IF(AND(Q20&lt;&gt;"",Q20&gt;2.35),"EC "&amp;Q20&amp;" too high — add "&amp;U20&amp;" L water only, no A/B; re-check","Add "&amp;U20&amp;" L "&amp;LOWER(O20)&amp;IF(O20="Mix"," ("&amp;P20&amp;"% over-tank)","")&amp;" water · A "&amp;X20&amp;" cc · B "&amp;Y20&amp;" cc · C "&amp;Z20&amp;" cc"))))</f>
        <v/>
      </c>
    </row>
    <row r="21">
      <c r="A21" s="2" t="inlineStr">
        <is>
          <t>PRJ15-B</t>
        </is>
      </c>
      <c r="B21" s="2" t="inlineStr">
        <is>
          <t>Room PRJ15</t>
        </is>
      </c>
      <c r="C21" s="2" t="inlineStr">
        <is>
          <t>PRJ15</t>
        </is>
      </c>
      <c r="D21" s="2" t="n">
        <v>220</v>
      </c>
      <c r="E21" s="2" t="n">
        <v>130</v>
      </c>
      <c r="F21" s="2" t="n">
        <v>115</v>
      </c>
      <c r="G21" s="2" t="n">
        <v>1</v>
      </c>
      <c r="H21" s="2">
        <f>Settings!$B$4</f>
        <v/>
      </c>
      <c r="I21" s="2">
        <f>Settings!$B$5</f>
        <v/>
      </c>
      <c r="J21" s="3" t="n"/>
      <c r="K21" s="3" t="n"/>
      <c r="L21" s="3" t="n"/>
      <c r="M21" s="3" t="n"/>
      <c r="N21" s="3" t="n"/>
      <c r="O21" s="3" t="inlineStr">
        <is>
          <t>Pure</t>
        </is>
      </c>
      <c r="P21" s="3" t="n">
        <v>0</v>
      </c>
      <c r="Q21" s="4">
        <f>IF(AND(K21="",L21=""),"",IF(OR(K21="",L21=""),MAX(K21,L21),IF(ABS(K21-L21)&lt;=Settings!$B$6,ROUND(AVERAGE(K21,L21),2),"")))</f>
        <v/>
      </c>
      <c r="R21" s="4">
        <f>IF(AND(M21="",N21=""),"",IF(OR(M21="",N21=""),MAX(M21,N21),IF(ABS(M21-N21)&lt;=Settings!$B$7,ROUND(AVERAGE(M21,N21),2),"")))</f>
        <v/>
      </c>
      <c r="S21" s="4">
        <f>IF(AND(K21&lt;&gt;"",L21&lt;&gt;"",ABS(K21-L21)&gt;Settings!$B$6),"CALIBRATE EC meters (differ "&amp;ROUND(ABS(K21-L21),2)&amp;")",IF(AND(M21&lt;&gt;"",N21&lt;&gt;"",ABS(M21-N21)&gt;Settings!$B$7),"CALIBRATE pH meters (differ "&amp;ROUND(ABS(M21-N21),2)&amp;")","OK"))</f>
        <v/>
      </c>
      <c r="T21" s="4">
        <f>IF(J21="","",MAX(0,ROUND(F21-J21,0)))</f>
        <v/>
      </c>
      <c r="U21" s="4">
        <f>IF(T21="","",ROUND(D21*E21*T21/1000,0))</f>
        <v/>
      </c>
      <c r="V21" s="4">
        <f>IF(Q21="","",IF(Q21&gt;2.35,"above 2.35 — dilute",TEXT(MAX(1.5,MROUND(Q21,0.05)),"0.00")))</f>
        <v/>
      </c>
      <c r="W21" s="4">
        <f>IF(O21="Pure",1,IF(O21="Over-tank",MAX(0,1-Settings!$B$3/Settings!$B$2),MAX(0,1-Settings!$B$3/Settings!$B$2*P21/100)))</f>
        <v/>
      </c>
      <c r="X21" s="4">
        <f>IF(OR(S21&lt;&gt;"OK",T21="",T21&lt;=0,Q21=""),0,ROUND(IFERROR(INDEX(Matrix!$B$2:$AW$19,MATCH(V21,Matrix!$A$2:$A$19,0),MATCH(MIN(48,MAX(1,T21)),Matrix!$B$1:$AW$1,0)),0)*G21*W21,0))</f>
        <v/>
      </c>
      <c r="Y21" s="4">
        <f>X21</f>
        <v/>
      </c>
      <c r="Z21" s="4">
        <f>IF(OR(S21&lt;&gt;"OK",T21="",T21&lt;=0),0,ROUND(T21*H21*IF(R21="",1,MAX(0.5,MIN(2,1+(R21-I21)))),0))</f>
        <v/>
      </c>
      <c r="AA21" s="4">
        <f>ROUND(X21/1000,2)</f>
        <v/>
      </c>
      <c r="AB21" s="4">
        <f>ROUND(Y21/1000,2)</f>
        <v/>
      </c>
      <c r="AC21" s="4">
        <f>ROUND(Z21/1000,2)</f>
        <v/>
      </c>
      <c r="AD21" s="4">
        <f>IF(S21&lt;&gt;"OK","⚠ "&amp;S21&amp;" — re-measure, no dose until the two meters agree",IF(J21="","— no reading —",IF(T21&lt;=0,"Level OK — add nothing",IF(AND(Q21&lt;&gt;"",Q21&gt;2.35),"EC "&amp;Q21&amp;" too high — add "&amp;U21&amp;" L water only, no A/B; re-check","Add "&amp;U21&amp;" L "&amp;LOWER(O21)&amp;IF(O21="Mix"," ("&amp;P21&amp;"% over-tank)","")&amp;" water · A "&amp;X21&amp;" cc · B "&amp;Y21&amp;" cc · C "&amp;Z21&amp;" cc"))))</f>
        <v/>
      </c>
    </row>
    <row r="22">
      <c r="A22" s="2" t="inlineStr">
        <is>
          <t>PRJ15-C</t>
        </is>
      </c>
      <c r="B22" s="2" t="inlineStr">
        <is>
          <t>Room PRJ15</t>
        </is>
      </c>
      <c r="C22" s="2" t="inlineStr">
        <is>
          <t>PRJ15</t>
        </is>
      </c>
      <c r="D22" s="2" t="n">
        <v>220</v>
      </c>
      <c r="E22" s="2" t="n">
        <v>130</v>
      </c>
      <c r="F22" s="2" t="n">
        <v>115</v>
      </c>
      <c r="G22" s="2" t="n">
        <v>1</v>
      </c>
      <c r="H22" s="2">
        <f>Settings!$B$4</f>
        <v/>
      </c>
      <c r="I22" s="2">
        <f>Settings!$B$5</f>
        <v/>
      </c>
      <c r="J22" s="3" t="n"/>
      <c r="K22" s="3" t="n"/>
      <c r="L22" s="3" t="n"/>
      <c r="M22" s="3" t="n"/>
      <c r="N22" s="3" t="n"/>
      <c r="O22" s="3" t="inlineStr">
        <is>
          <t>Pure</t>
        </is>
      </c>
      <c r="P22" s="3" t="n">
        <v>0</v>
      </c>
      <c r="Q22" s="4">
        <f>IF(AND(K22="",L22=""),"",IF(OR(K22="",L22=""),MAX(K22,L22),IF(ABS(K22-L22)&lt;=Settings!$B$6,ROUND(AVERAGE(K22,L22),2),"")))</f>
        <v/>
      </c>
      <c r="R22" s="4">
        <f>IF(AND(M22="",N22=""),"",IF(OR(M22="",N22=""),MAX(M22,N22),IF(ABS(M22-N22)&lt;=Settings!$B$7,ROUND(AVERAGE(M22,N22),2),"")))</f>
        <v/>
      </c>
      <c r="S22" s="4">
        <f>IF(AND(K22&lt;&gt;"",L22&lt;&gt;"",ABS(K22-L22)&gt;Settings!$B$6),"CALIBRATE EC meters (differ "&amp;ROUND(ABS(K22-L22),2)&amp;")",IF(AND(M22&lt;&gt;"",N22&lt;&gt;"",ABS(M22-N22)&gt;Settings!$B$7),"CALIBRATE pH meters (differ "&amp;ROUND(ABS(M22-N22),2)&amp;")","OK"))</f>
        <v/>
      </c>
      <c r="T22" s="4">
        <f>IF(J22="","",MAX(0,ROUND(F22-J22,0)))</f>
        <v/>
      </c>
      <c r="U22" s="4">
        <f>IF(T22="","",ROUND(D22*E22*T22/1000,0))</f>
        <v/>
      </c>
      <c r="V22" s="4">
        <f>IF(Q22="","",IF(Q22&gt;2.35,"above 2.35 — dilute",TEXT(MAX(1.5,MROUND(Q22,0.05)),"0.00")))</f>
        <v/>
      </c>
      <c r="W22" s="4">
        <f>IF(O22="Pure",1,IF(O22="Over-tank",MAX(0,1-Settings!$B$3/Settings!$B$2),MAX(0,1-Settings!$B$3/Settings!$B$2*P22/100)))</f>
        <v/>
      </c>
      <c r="X22" s="4">
        <f>IF(OR(S22&lt;&gt;"OK",T22="",T22&lt;=0,Q22=""),0,ROUND(IFERROR(INDEX(Matrix!$B$2:$AW$19,MATCH(V22,Matrix!$A$2:$A$19,0),MATCH(MIN(48,MAX(1,T22)),Matrix!$B$1:$AW$1,0)),0)*G22*W22,0))</f>
        <v/>
      </c>
      <c r="Y22" s="4">
        <f>X22</f>
        <v/>
      </c>
      <c r="Z22" s="4">
        <f>IF(OR(S22&lt;&gt;"OK",T22="",T22&lt;=0),0,ROUND(T22*H22*IF(R22="",1,MAX(0.5,MIN(2,1+(R22-I22)))),0))</f>
        <v/>
      </c>
      <c r="AA22" s="4">
        <f>ROUND(X22/1000,2)</f>
        <v/>
      </c>
      <c r="AB22" s="4">
        <f>ROUND(Y22/1000,2)</f>
        <v/>
      </c>
      <c r="AC22" s="4">
        <f>ROUND(Z22/1000,2)</f>
        <v/>
      </c>
      <c r="AD22" s="4">
        <f>IF(S22&lt;&gt;"OK","⚠ "&amp;S22&amp;" — re-measure, no dose until the two meters agree",IF(J22="","— no reading —",IF(T22&lt;=0,"Level OK — add nothing",IF(AND(Q22&lt;&gt;"",Q22&gt;2.35),"EC "&amp;Q22&amp;" too high — add "&amp;U22&amp;" L water only, no A/B; re-check","Add "&amp;U22&amp;" L "&amp;LOWER(O22)&amp;IF(O22="Mix"," ("&amp;P22&amp;"% over-tank)","")&amp;" water · A "&amp;X22&amp;" cc · B "&amp;Y22&amp;" cc · C "&amp;Z22&amp;" cc"))))</f>
        <v/>
      </c>
    </row>
    <row r="23">
      <c r="A23" s="2" t="inlineStr">
        <is>
          <t>PRJ16-A</t>
        </is>
      </c>
      <c r="B23" s="2" t="inlineStr">
        <is>
          <t>Room PRJ16</t>
        </is>
      </c>
      <c r="C23" s="2" t="inlineStr">
        <is>
          <t>PRJ16</t>
        </is>
      </c>
      <c r="D23" s="2" t="n">
        <v>220</v>
      </c>
      <c r="E23" s="2" t="n">
        <v>130</v>
      </c>
      <c r="F23" s="2" t="n">
        <v>115</v>
      </c>
      <c r="G23" s="2" t="n">
        <v>1</v>
      </c>
      <c r="H23" s="2">
        <f>Settings!$B$4</f>
        <v/>
      </c>
      <c r="I23" s="2">
        <f>Settings!$B$5</f>
        <v/>
      </c>
      <c r="J23" s="3" t="n"/>
      <c r="K23" s="3" t="n"/>
      <c r="L23" s="3" t="n"/>
      <c r="M23" s="3" t="n"/>
      <c r="N23" s="3" t="n"/>
      <c r="O23" s="3" t="inlineStr">
        <is>
          <t>Pure</t>
        </is>
      </c>
      <c r="P23" s="3" t="n">
        <v>0</v>
      </c>
      <c r="Q23" s="4">
        <f>IF(AND(K23="",L23=""),"",IF(OR(K23="",L23=""),MAX(K23,L23),IF(ABS(K23-L23)&lt;=Settings!$B$6,ROUND(AVERAGE(K23,L23),2),"")))</f>
        <v/>
      </c>
      <c r="R23" s="4">
        <f>IF(AND(M23="",N23=""),"",IF(OR(M23="",N23=""),MAX(M23,N23),IF(ABS(M23-N23)&lt;=Settings!$B$7,ROUND(AVERAGE(M23,N23),2),"")))</f>
        <v/>
      </c>
      <c r="S23" s="4">
        <f>IF(AND(K23&lt;&gt;"",L23&lt;&gt;"",ABS(K23-L23)&gt;Settings!$B$6),"CALIBRATE EC meters (differ "&amp;ROUND(ABS(K23-L23),2)&amp;")",IF(AND(M23&lt;&gt;"",N23&lt;&gt;"",ABS(M23-N23)&gt;Settings!$B$7),"CALIBRATE pH meters (differ "&amp;ROUND(ABS(M23-N23),2)&amp;")","OK"))</f>
        <v/>
      </c>
      <c r="T23" s="4">
        <f>IF(J23="","",MAX(0,ROUND(F23-J23,0)))</f>
        <v/>
      </c>
      <c r="U23" s="4">
        <f>IF(T23="","",ROUND(D23*E23*T23/1000,0))</f>
        <v/>
      </c>
      <c r="V23" s="4">
        <f>IF(Q23="","",IF(Q23&gt;2.35,"above 2.35 — dilute",TEXT(MAX(1.5,MROUND(Q23,0.05)),"0.00")))</f>
        <v/>
      </c>
      <c r="W23" s="4">
        <f>IF(O23="Pure",1,IF(O23="Over-tank",MAX(0,1-Settings!$B$3/Settings!$B$2),MAX(0,1-Settings!$B$3/Settings!$B$2*P23/100)))</f>
        <v/>
      </c>
      <c r="X23" s="4">
        <f>IF(OR(S23&lt;&gt;"OK",T23="",T23&lt;=0,Q23=""),0,ROUND(IFERROR(INDEX(Matrix!$B$2:$AW$19,MATCH(V23,Matrix!$A$2:$A$19,0),MATCH(MIN(48,MAX(1,T23)),Matrix!$B$1:$AW$1,0)),0)*G23*W23,0))</f>
        <v/>
      </c>
      <c r="Y23" s="4">
        <f>X23</f>
        <v/>
      </c>
      <c r="Z23" s="4">
        <f>IF(OR(S23&lt;&gt;"OK",T23="",T23&lt;=0),0,ROUND(T23*H23*IF(R23="",1,MAX(0.5,MIN(2,1+(R23-I23)))),0))</f>
        <v/>
      </c>
      <c r="AA23" s="4">
        <f>ROUND(X23/1000,2)</f>
        <v/>
      </c>
      <c r="AB23" s="4">
        <f>ROUND(Y23/1000,2)</f>
        <v/>
      </c>
      <c r="AC23" s="4">
        <f>ROUND(Z23/1000,2)</f>
        <v/>
      </c>
      <c r="AD23" s="4">
        <f>IF(S23&lt;&gt;"OK","⚠ "&amp;S23&amp;" — re-measure, no dose until the two meters agree",IF(J23="","— no reading —",IF(T23&lt;=0,"Level OK — add nothing",IF(AND(Q23&lt;&gt;"",Q23&gt;2.35),"EC "&amp;Q23&amp;" too high — add "&amp;U23&amp;" L water only, no A/B; re-check","Add "&amp;U23&amp;" L "&amp;LOWER(O23)&amp;IF(O23="Mix"," ("&amp;P23&amp;"% over-tank)","")&amp;" water · A "&amp;X23&amp;" cc · B "&amp;Y23&amp;" cc · C "&amp;Z23&amp;" cc"))))</f>
        <v/>
      </c>
    </row>
    <row r="24">
      <c r="A24" s="2" t="inlineStr">
        <is>
          <t>PRJ16-B</t>
        </is>
      </c>
      <c r="B24" s="2" t="inlineStr">
        <is>
          <t>Room PRJ16</t>
        </is>
      </c>
      <c r="C24" s="2" t="inlineStr">
        <is>
          <t>PRJ16</t>
        </is>
      </c>
      <c r="D24" s="2" t="n">
        <v>220</v>
      </c>
      <c r="E24" s="2" t="n">
        <v>130</v>
      </c>
      <c r="F24" s="2" t="n">
        <v>115</v>
      </c>
      <c r="G24" s="2" t="n">
        <v>1</v>
      </c>
      <c r="H24" s="2">
        <f>Settings!$B$4</f>
        <v/>
      </c>
      <c r="I24" s="2">
        <f>Settings!$B$5</f>
        <v/>
      </c>
      <c r="J24" s="3" t="n"/>
      <c r="K24" s="3" t="n"/>
      <c r="L24" s="3" t="n"/>
      <c r="M24" s="3" t="n"/>
      <c r="N24" s="3" t="n"/>
      <c r="O24" s="3" t="inlineStr">
        <is>
          <t>Pure</t>
        </is>
      </c>
      <c r="P24" s="3" t="n">
        <v>0</v>
      </c>
      <c r="Q24" s="4">
        <f>IF(AND(K24="",L24=""),"",IF(OR(K24="",L24=""),MAX(K24,L24),IF(ABS(K24-L24)&lt;=Settings!$B$6,ROUND(AVERAGE(K24,L24),2),"")))</f>
        <v/>
      </c>
      <c r="R24" s="4">
        <f>IF(AND(M24="",N24=""),"",IF(OR(M24="",N24=""),MAX(M24,N24),IF(ABS(M24-N24)&lt;=Settings!$B$7,ROUND(AVERAGE(M24,N24),2),"")))</f>
        <v/>
      </c>
      <c r="S24" s="4">
        <f>IF(AND(K24&lt;&gt;"",L24&lt;&gt;"",ABS(K24-L24)&gt;Settings!$B$6),"CALIBRATE EC meters (differ "&amp;ROUND(ABS(K24-L24),2)&amp;")",IF(AND(M24&lt;&gt;"",N24&lt;&gt;"",ABS(M24-N24)&gt;Settings!$B$7),"CALIBRATE pH meters (differ "&amp;ROUND(ABS(M24-N24),2)&amp;")","OK"))</f>
        <v/>
      </c>
      <c r="T24" s="4">
        <f>IF(J24="","",MAX(0,ROUND(F24-J24,0)))</f>
        <v/>
      </c>
      <c r="U24" s="4">
        <f>IF(T24="","",ROUND(D24*E24*T24/1000,0))</f>
        <v/>
      </c>
      <c r="V24" s="4">
        <f>IF(Q24="","",IF(Q24&gt;2.35,"above 2.35 — dilute",TEXT(MAX(1.5,MROUND(Q24,0.05)),"0.00")))</f>
        <v/>
      </c>
      <c r="W24" s="4">
        <f>IF(O24="Pure",1,IF(O24="Over-tank",MAX(0,1-Settings!$B$3/Settings!$B$2),MAX(0,1-Settings!$B$3/Settings!$B$2*P24/100)))</f>
        <v/>
      </c>
      <c r="X24" s="4">
        <f>IF(OR(S24&lt;&gt;"OK",T24="",T24&lt;=0,Q24=""),0,ROUND(IFERROR(INDEX(Matrix!$B$2:$AW$19,MATCH(V24,Matrix!$A$2:$A$19,0),MATCH(MIN(48,MAX(1,T24)),Matrix!$B$1:$AW$1,0)),0)*G24*W24,0))</f>
        <v/>
      </c>
      <c r="Y24" s="4">
        <f>X24</f>
        <v/>
      </c>
      <c r="Z24" s="4">
        <f>IF(OR(S24&lt;&gt;"OK",T24="",T24&lt;=0),0,ROUND(T24*H24*IF(R24="",1,MAX(0.5,MIN(2,1+(R24-I24)))),0))</f>
        <v/>
      </c>
      <c r="AA24" s="4">
        <f>ROUND(X24/1000,2)</f>
        <v/>
      </c>
      <c r="AB24" s="4">
        <f>ROUND(Y24/1000,2)</f>
        <v/>
      </c>
      <c r="AC24" s="4">
        <f>ROUND(Z24/1000,2)</f>
        <v/>
      </c>
      <c r="AD24" s="4">
        <f>IF(S24&lt;&gt;"OK","⚠ "&amp;S24&amp;" — re-measure, no dose until the two meters agree",IF(J24="","— no reading —",IF(T24&lt;=0,"Level OK — add nothing",IF(AND(Q24&lt;&gt;"",Q24&gt;2.35),"EC "&amp;Q24&amp;" too high — add "&amp;U24&amp;" L water only, no A/B; re-check","Add "&amp;U24&amp;" L "&amp;LOWER(O24)&amp;IF(O24="Mix"," ("&amp;P24&amp;"% over-tank)","")&amp;" water · A "&amp;X24&amp;" cc · B "&amp;Y24&amp;" cc · C "&amp;Z24&amp;" cc"))))</f>
        <v/>
      </c>
    </row>
    <row r="25">
      <c r="A25" s="2" t="inlineStr">
        <is>
          <t>PRJ16-C</t>
        </is>
      </c>
      <c r="B25" s="2" t="inlineStr">
        <is>
          <t>Room PRJ16</t>
        </is>
      </c>
      <c r="C25" s="2" t="inlineStr">
        <is>
          <t>PRJ16</t>
        </is>
      </c>
      <c r="D25" s="2" t="n">
        <v>220</v>
      </c>
      <c r="E25" s="2" t="n">
        <v>130</v>
      </c>
      <c r="F25" s="2" t="n">
        <v>115</v>
      </c>
      <c r="G25" s="2" t="n">
        <v>1</v>
      </c>
      <c r="H25" s="2">
        <f>Settings!$B$4</f>
        <v/>
      </c>
      <c r="I25" s="2">
        <f>Settings!$B$5</f>
        <v/>
      </c>
      <c r="J25" s="3" t="n"/>
      <c r="K25" s="3" t="n"/>
      <c r="L25" s="3" t="n"/>
      <c r="M25" s="3" t="n"/>
      <c r="N25" s="3" t="n"/>
      <c r="O25" s="3" t="inlineStr">
        <is>
          <t>Pure</t>
        </is>
      </c>
      <c r="P25" s="3" t="n">
        <v>0</v>
      </c>
      <c r="Q25" s="4">
        <f>IF(AND(K25="",L25=""),"",IF(OR(K25="",L25=""),MAX(K25,L25),IF(ABS(K25-L25)&lt;=Settings!$B$6,ROUND(AVERAGE(K25,L25),2),"")))</f>
        <v/>
      </c>
      <c r="R25" s="4">
        <f>IF(AND(M25="",N25=""),"",IF(OR(M25="",N25=""),MAX(M25,N25),IF(ABS(M25-N25)&lt;=Settings!$B$7,ROUND(AVERAGE(M25,N25),2),"")))</f>
        <v/>
      </c>
      <c r="S25" s="4">
        <f>IF(AND(K25&lt;&gt;"",L25&lt;&gt;"",ABS(K25-L25)&gt;Settings!$B$6),"CALIBRATE EC meters (differ "&amp;ROUND(ABS(K25-L25),2)&amp;")",IF(AND(M25&lt;&gt;"",N25&lt;&gt;"",ABS(M25-N25)&gt;Settings!$B$7),"CALIBRATE pH meters (differ "&amp;ROUND(ABS(M25-N25),2)&amp;")","OK"))</f>
        <v/>
      </c>
      <c r="T25" s="4">
        <f>IF(J25="","",MAX(0,ROUND(F25-J25,0)))</f>
        <v/>
      </c>
      <c r="U25" s="4">
        <f>IF(T25="","",ROUND(D25*E25*T25/1000,0))</f>
        <v/>
      </c>
      <c r="V25" s="4">
        <f>IF(Q25="","",IF(Q25&gt;2.35,"above 2.35 — dilute",TEXT(MAX(1.5,MROUND(Q25,0.05)),"0.00")))</f>
        <v/>
      </c>
      <c r="W25" s="4">
        <f>IF(O25="Pure",1,IF(O25="Over-tank",MAX(0,1-Settings!$B$3/Settings!$B$2),MAX(0,1-Settings!$B$3/Settings!$B$2*P25/100)))</f>
        <v/>
      </c>
      <c r="X25" s="4">
        <f>IF(OR(S25&lt;&gt;"OK",T25="",T25&lt;=0,Q25=""),0,ROUND(IFERROR(INDEX(Matrix!$B$2:$AW$19,MATCH(V25,Matrix!$A$2:$A$19,0),MATCH(MIN(48,MAX(1,T25)),Matrix!$B$1:$AW$1,0)),0)*G25*W25,0))</f>
        <v/>
      </c>
      <c r="Y25" s="4">
        <f>X25</f>
        <v/>
      </c>
      <c r="Z25" s="4">
        <f>IF(OR(S25&lt;&gt;"OK",T25="",T25&lt;=0),0,ROUND(T25*H25*IF(R25="",1,MAX(0.5,MIN(2,1+(R25-I25)))),0))</f>
        <v/>
      </c>
      <c r="AA25" s="4">
        <f>ROUND(X25/1000,2)</f>
        <v/>
      </c>
      <c r="AB25" s="4">
        <f>ROUND(Y25/1000,2)</f>
        <v/>
      </c>
      <c r="AC25" s="4">
        <f>ROUND(Z25/1000,2)</f>
        <v/>
      </c>
      <c r="AD25" s="4">
        <f>IF(S25&lt;&gt;"OK","⚠ "&amp;S25&amp;" — re-measure, no dose until the two meters agree",IF(J25="","— no reading —",IF(T25&lt;=0,"Level OK — add nothing",IF(AND(Q25&lt;&gt;"",Q25&gt;2.35),"EC "&amp;Q25&amp;" too high — add "&amp;U25&amp;" L water only, no A/B; re-check","Add "&amp;U25&amp;" L "&amp;LOWER(O25)&amp;IF(O25="Mix"," ("&amp;P25&amp;"% over-tank)","")&amp;" water · A "&amp;X25&amp;" cc · B "&amp;Y25&amp;" cc · C "&amp;Z25&amp;" cc"))))</f>
        <v/>
      </c>
    </row>
    <row r="27">
      <c r="A27" s="5" t="inlineStr">
        <is>
          <t>Yellow = Reven types (level, both EC meters, both pH meters, water source, mix %). Green = Nexi's answer. Two meters must agree within the Settings tolerance; otherwise CALIBRATE and no dose. Matrix, template multipliers and pH factor are exactly as in Nexi.</t>
        </is>
      </c>
    </row>
  </sheetData>
  <dataValidations count="1">
    <dataValidation sqref="O2 O3 O4 O5 O6 O7 O8 O9 O10 O11 O12 O13 O14 O15 O16 O17 O18 O19 O20 O21 O22 O23 O24 O25" showDropDown="0" showInputMessage="0" showErrorMessage="0" allowBlank="1" type="list">
      <formula1>"Pure,Over-tank,Mix"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</cols>
  <sheetData>
    <row r="1">
      <c r="A1" s="6" t="inlineStr">
        <is>
          <t>EC \ cm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6" t="n">
        <v>32</v>
      </c>
      <c r="AH1" s="6" t="n">
        <v>33</v>
      </c>
      <c r="AI1" s="6" t="n">
        <v>34</v>
      </c>
      <c r="AJ1" s="6" t="n">
        <v>35</v>
      </c>
      <c r="AK1" s="6" t="n">
        <v>36</v>
      </c>
      <c r="AL1" s="6" t="n">
        <v>37</v>
      </c>
      <c r="AM1" s="6" t="n">
        <v>38</v>
      </c>
      <c r="AN1" s="6" t="n">
        <v>39</v>
      </c>
      <c r="AO1" s="6" t="n">
        <v>40</v>
      </c>
      <c r="AP1" s="6" t="n">
        <v>41</v>
      </c>
      <c r="AQ1" s="6" t="n">
        <v>42</v>
      </c>
      <c r="AR1" s="6" t="n">
        <v>43</v>
      </c>
      <c r="AS1" s="6" t="n">
        <v>44</v>
      </c>
      <c r="AT1" s="6" t="n">
        <v>45</v>
      </c>
      <c r="AU1" s="6" t="n">
        <v>46</v>
      </c>
      <c r="AV1" s="6" t="n">
        <v>47</v>
      </c>
      <c r="AW1" s="6" t="n">
        <v>48</v>
      </c>
    </row>
    <row r="2">
      <c r="A2" t="inlineStr">
        <is>
          <t>2.35</t>
        </is>
      </c>
      <c r="AU2" t="n">
        <v>600</v>
      </c>
      <c r="AV2" t="n">
        <v>900</v>
      </c>
      <c r="AW2" t="n">
        <v>1200</v>
      </c>
    </row>
    <row r="3">
      <c r="A3" t="inlineStr">
        <is>
          <t>2.30</t>
        </is>
      </c>
      <c r="AP3" t="n">
        <v>550</v>
      </c>
      <c r="AQ3" t="n">
        <v>825</v>
      </c>
      <c r="AR3" t="n">
        <v>1100</v>
      </c>
      <c r="AS3" t="n">
        <v>1375</v>
      </c>
      <c r="AT3" t="n">
        <v>1650</v>
      </c>
      <c r="AU3" t="n">
        <v>1925</v>
      </c>
      <c r="AV3" t="n">
        <v>2200</v>
      </c>
      <c r="AW3" t="n">
        <v>2475</v>
      </c>
    </row>
    <row r="4">
      <c r="A4" t="inlineStr">
        <is>
          <t>2.25</t>
        </is>
      </c>
      <c r="AK4" t="n">
        <v>500</v>
      </c>
      <c r="AL4" t="n">
        <v>750</v>
      </c>
      <c r="AM4" t="n">
        <v>1000</v>
      </c>
      <c r="AN4" t="n">
        <v>1250</v>
      </c>
      <c r="AO4" t="n">
        <v>1500</v>
      </c>
      <c r="AP4" t="n">
        <v>1750</v>
      </c>
      <c r="AQ4" t="n">
        <v>2000</v>
      </c>
      <c r="AR4" t="n">
        <v>2250</v>
      </c>
      <c r="AS4" t="n">
        <v>2500</v>
      </c>
      <c r="AT4" t="n">
        <v>2750</v>
      </c>
      <c r="AU4" t="n">
        <v>3000</v>
      </c>
      <c r="AV4" t="n">
        <v>3250</v>
      </c>
      <c r="AW4" t="n">
        <v>3500</v>
      </c>
    </row>
    <row r="5">
      <c r="A5" t="inlineStr">
        <is>
          <t>2.20</t>
        </is>
      </c>
      <c r="AF5" t="n">
        <v>450</v>
      </c>
      <c r="AG5" t="n">
        <v>675</v>
      </c>
      <c r="AH5" t="n">
        <v>900</v>
      </c>
      <c r="AI5" t="n">
        <v>1125</v>
      </c>
      <c r="AJ5" t="n">
        <v>1350</v>
      </c>
      <c r="AK5" t="n">
        <v>1575</v>
      </c>
      <c r="AL5" t="n">
        <v>1800</v>
      </c>
      <c r="AM5" t="n">
        <v>2025</v>
      </c>
      <c r="AN5" t="n">
        <v>2250</v>
      </c>
      <c r="AO5" t="n">
        <v>2475</v>
      </c>
      <c r="AP5" t="n">
        <v>2700</v>
      </c>
      <c r="AQ5" t="n">
        <v>2925</v>
      </c>
      <c r="AR5" t="n">
        <v>3150</v>
      </c>
      <c r="AS5" t="n">
        <v>3375</v>
      </c>
      <c r="AT5" t="n">
        <v>3600</v>
      </c>
      <c r="AU5" t="n">
        <v>3825</v>
      </c>
      <c r="AV5" t="n">
        <v>4050</v>
      </c>
      <c r="AW5" t="n">
        <v>4275</v>
      </c>
    </row>
    <row r="6">
      <c r="A6" t="inlineStr">
        <is>
          <t>2.15</t>
        </is>
      </c>
      <c r="AA6" t="n">
        <v>400</v>
      </c>
      <c r="AB6" t="n">
        <v>600</v>
      </c>
      <c r="AC6" t="n">
        <v>800</v>
      </c>
      <c r="AD6" t="n">
        <v>1000</v>
      </c>
      <c r="AE6" t="n">
        <v>1200</v>
      </c>
      <c r="AF6" t="n">
        <v>1400</v>
      </c>
      <c r="AG6" t="n">
        <v>1600</v>
      </c>
      <c r="AH6" t="n">
        <v>1800</v>
      </c>
      <c r="AI6" t="n">
        <v>2000</v>
      </c>
      <c r="AJ6" t="n">
        <v>2200</v>
      </c>
      <c r="AK6" t="n">
        <v>2400</v>
      </c>
      <c r="AL6" t="n">
        <v>2600</v>
      </c>
      <c r="AM6" t="n">
        <v>2800</v>
      </c>
      <c r="AN6" t="n">
        <v>3000</v>
      </c>
      <c r="AO6" t="n">
        <v>3200</v>
      </c>
      <c r="AP6" t="n">
        <v>3400</v>
      </c>
      <c r="AQ6" t="n">
        <v>3600</v>
      </c>
      <c r="AR6" t="n">
        <v>3800</v>
      </c>
      <c r="AS6" t="n">
        <v>4000</v>
      </c>
      <c r="AT6" t="n">
        <v>4200</v>
      </c>
      <c r="AU6" t="n">
        <v>4400</v>
      </c>
      <c r="AV6" t="n">
        <v>4600</v>
      </c>
      <c r="AW6" t="n">
        <v>4800</v>
      </c>
    </row>
    <row r="7">
      <c r="A7" t="inlineStr">
        <is>
          <t>2.10</t>
        </is>
      </c>
      <c r="V7" t="n">
        <v>350</v>
      </c>
      <c r="W7" t="n">
        <v>525</v>
      </c>
      <c r="X7" t="n">
        <v>700</v>
      </c>
      <c r="Y7" t="n">
        <v>875</v>
      </c>
      <c r="Z7" t="n">
        <v>1050</v>
      </c>
      <c r="AA7" t="n">
        <v>1225</v>
      </c>
      <c r="AB7" t="n">
        <v>1400</v>
      </c>
      <c r="AC7" t="n">
        <v>1575</v>
      </c>
      <c r="AD7" t="n">
        <v>1750</v>
      </c>
      <c r="AE7" t="n">
        <v>1925</v>
      </c>
      <c r="AF7" t="n">
        <v>2100</v>
      </c>
      <c r="AG7" t="n">
        <v>2275</v>
      </c>
      <c r="AH7" t="n">
        <v>2450</v>
      </c>
      <c r="AI7" t="n">
        <v>2625</v>
      </c>
      <c r="AJ7" t="n">
        <v>2800</v>
      </c>
      <c r="AK7" t="n">
        <v>2975</v>
      </c>
      <c r="AL7" t="n">
        <v>3150</v>
      </c>
      <c r="AM7" t="n">
        <v>3325</v>
      </c>
      <c r="AN7" t="n">
        <v>3500</v>
      </c>
      <c r="AO7" t="n">
        <v>3675</v>
      </c>
      <c r="AP7" t="n">
        <v>3850</v>
      </c>
      <c r="AQ7" t="n">
        <v>4025</v>
      </c>
      <c r="AR7" t="n">
        <v>4200</v>
      </c>
      <c r="AS7" t="n">
        <v>4375</v>
      </c>
      <c r="AT7" t="n">
        <v>4550</v>
      </c>
      <c r="AU7" t="n">
        <v>4725</v>
      </c>
      <c r="AV7" t="n">
        <v>4900</v>
      </c>
      <c r="AW7" t="n">
        <v>5075</v>
      </c>
    </row>
    <row r="8">
      <c r="A8" t="inlineStr">
        <is>
          <t>2.05</t>
        </is>
      </c>
      <c r="Q8" t="n">
        <v>300</v>
      </c>
      <c r="R8" t="n">
        <v>450</v>
      </c>
      <c r="S8" t="n">
        <v>600</v>
      </c>
      <c r="T8" t="n">
        <v>750</v>
      </c>
      <c r="U8" t="n">
        <v>900</v>
      </c>
      <c r="V8" t="n">
        <v>1050</v>
      </c>
      <c r="W8" t="n">
        <v>1200</v>
      </c>
      <c r="X8" t="n">
        <v>1350</v>
      </c>
      <c r="Y8" t="n">
        <v>1500</v>
      </c>
      <c r="Z8" t="n">
        <v>1650</v>
      </c>
      <c r="AA8" t="n">
        <v>1800</v>
      </c>
      <c r="AB8" t="n">
        <v>1950</v>
      </c>
      <c r="AC8" t="n">
        <v>2100</v>
      </c>
      <c r="AD8" t="n">
        <v>2250</v>
      </c>
      <c r="AE8" t="n">
        <v>2400</v>
      </c>
      <c r="AF8" t="n">
        <v>2550</v>
      </c>
      <c r="AG8" t="n">
        <v>2700</v>
      </c>
      <c r="AH8" t="n">
        <v>2850</v>
      </c>
      <c r="AI8" t="n">
        <v>3000</v>
      </c>
      <c r="AJ8" t="n">
        <v>3150</v>
      </c>
      <c r="AK8" t="n">
        <v>3300</v>
      </c>
      <c r="AL8" t="n">
        <v>3450</v>
      </c>
      <c r="AM8" t="n">
        <v>3600</v>
      </c>
      <c r="AN8" t="n">
        <v>3750</v>
      </c>
      <c r="AO8" t="n">
        <v>3900</v>
      </c>
      <c r="AP8" t="n">
        <v>4050</v>
      </c>
      <c r="AQ8" t="n">
        <v>4200</v>
      </c>
      <c r="AR8" t="n">
        <v>4350</v>
      </c>
      <c r="AS8" t="n">
        <v>4500</v>
      </c>
      <c r="AT8" t="n">
        <v>4650</v>
      </c>
      <c r="AU8" t="n">
        <v>4800</v>
      </c>
      <c r="AV8" t="n">
        <v>4950</v>
      </c>
      <c r="AW8" t="n">
        <v>5100</v>
      </c>
    </row>
    <row r="9">
      <c r="A9" t="inlineStr">
        <is>
          <t>2.00</t>
        </is>
      </c>
      <c r="L9" t="n">
        <v>250</v>
      </c>
      <c r="M9" t="n">
        <v>375</v>
      </c>
      <c r="N9" t="n">
        <v>500</v>
      </c>
      <c r="O9" t="n">
        <v>625</v>
      </c>
      <c r="P9" t="n">
        <v>750</v>
      </c>
      <c r="Q9" t="n">
        <v>875</v>
      </c>
      <c r="R9" t="n">
        <v>1000</v>
      </c>
      <c r="S9" t="n">
        <v>1125</v>
      </c>
      <c r="T9" t="n">
        <v>1250</v>
      </c>
      <c r="U9" t="n">
        <v>1375</v>
      </c>
      <c r="V9" t="n">
        <v>1500</v>
      </c>
      <c r="W9" t="n">
        <v>1625</v>
      </c>
      <c r="X9" t="n">
        <v>1750</v>
      </c>
      <c r="Y9" t="n">
        <v>1875</v>
      </c>
      <c r="Z9" t="n">
        <v>2000</v>
      </c>
      <c r="AA9" t="n">
        <v>2125</v>
      </c>
      <c r="AB9" t="n">
        <v>2250</v>
      </c>
      <c r="AC9" t="n">
        <v>2375</v>
      </c>
      <c r="AD9" t="n">
        <v>2500</v>
      </c>
      <c r="AE9" t="n">
        <v>2625</v>
      </c>
      <c r="AF9" t="n">
        <v>2750</v>
      </c>
      <c r="AG9" t="n">
        <v>2875</v>
      </c>
      <c r="AH9" t="n">
        <v>3000</v>
      </c>
      <c r="AI9" t="n">
        <v>3125</v>
      </c>
      <c r="AJ9" t="n">
        <v>3250</v>
      </c>
      <c r="AK9" t="n">
        <v>3375</v>
      </c>
      <c r="AL9" t="n">
        <v>3500</v>
      </c>
      <c r="AM9" t="n">
        <v>3625</v>
      </c>
      <c r="AN9" t="n">
        <v>3750</v>
      </c>
      <c r="AO9" t="n">
        <v>3875</v>
      </c>
      <c r="AP9" t="n">
        <v>4000</v>
      </c>
      <c r="AQ9" t="n">
        <v>4125</v>
      </c>
      <c r="AR9" t="n">
        <v>4250</v>
      </c>
      <c r="AS9" t="n">
        <v>4375</v>
      </c>
      <c r="AT9" t="n">
        <v>4500</v>
      </c>
      <c r="AU9" t="n">
        <v>4625</v>
      </c>
      <c r="AV9" t="n">
        <v>4750</v>
      </c>
      <c r="AW9" t="n">
        <v>4875</v>
      </c>
    </row>
    <row r="10">
      <c r="A10" t="inlineStr">
        <is>
          <t>1.95</t>
        </is>
      </c>
      <c r="G10" t="n">
        <v>200</v>
      </c>
      <c r="H10" t="n">
        <v>300</v>
      </c>
      <c r="I10" t="n">
        <v>400</v>
      </c>
      <c r="J10" t="n">
        <v>800</v>
      </c>
      <c r="K10" t="n">
        <v>1000</v>
      </c>
      <c r="L10" t="n">
        <v>1200</v>
      </c>
      <c r="M10" t="n">
        <v>1400</v>
      </c>
      <c r="N10" t="n">
        <v>1600</v>
      </c>
      <c r="O10" t="n">
        <v>1800</v>
      </c>
      <c r="P10" t="n">
        <v>2000</v>
      </c>
      <c r="Q10" t="n">
        <v>2200</v>
      </c>
      <c r="R10" t="n">
        <v>2400</v>
      </c>
      <c r="S10" t="n">
        <v>2600</v>
      </c>
      <c r="T10" t="n">
        <v>2800</v>
      </c>
      <c r="U10" t="n">
        <v>3000</v>
      </c>
      <c r="V10" t="n">
        <v>3200</v>
      </c>
      <c r="W10" t="n">
        <v>3400</v>
      </c>
      <c r="X10" t="n">
        <v>3600</v>
      </c>
      <c r="Y10" t="n">
        <v>3800</v>
      </c>
      <c r="Z10" t="n">
        <v>4000</v>
      </c>
      <c r="AA10" t="n">
        <v>4200</v>
      </c>
      <c r="AB10" t="n">
        <v>4400</v>
      </c>
      <c r="AC10" t="n">
        <v>4600</v>
      </c>
      <c r="AD10" t="n">
        <v>4800</v>
      </c>
      <c r="AE10" t="n">
        <v>5000</v>
      </c>
      <c r="AF10" t="n">
        <v>5200</v>
      </c>
      <c r="AG10" t="n">
        <v>5400</v>
      </c>
      <c r="AH10" t="n">
        <v>5600</v>
      </c>
      <c r="AI10" t="n">
        <v>5800</v>
      </c>
      <c r="AJ10" t="n">
        <v>6000</v>
      </c>
      <c r="AK10" t="n">
        <v>6200</v>
      </c>
      <c r="AL10" t="n">
        <v>6400</v>
      </c>
      <c r="AM10" t="n">
        <v>6600</v>
      </c>
      <c r="AN10" t="n">
        <v>6800</v>
      </c>
      <c r="AO10" t="n">
        <v>7000</v>
      </c>
      <c r="AP10" t="n">
        <v>7200</v>
      </c>
      <c r="AQ10" t="n">
        <v>7400</v>
      </c>
      <c r="AR10" t="n">
        <v>7600</v>
      </c>
      <c r="AS10" t="n">
        <v>7800</v>
      </c>
      <c r="AT10" t="n">
        <v>8000</v>
      </c>
      <c r="AU10" t="n">
        <v>8200</v>
      </c>
      <c r="AV10" t="n">
        <v>8400</v>
      </c>
      <c r="AW10" t="n">
        <v>8600</v>
      </c>
    </row>
    <row r="11">
      <c r="A11" t="inlineStr">
        <is>
          <t>1.90</t>
        </is>
      </c>
      <c r="B11" t="n">
        <v>200</v>
      </c>
      <c r="C11" t="n">
        <v>300</v>
      </c>
      <c r="D11" t="n">
        <v>400</v>
      </c>
      <c r="E11" t="n">
        <v>800</v>
      </c>
      <c r="F11" t="n">
        <v>1000</v>
      </c>
      <c r="G11" t="n">
        <v>1200</v>
      </c>
      <c r="H11" t="n">
        <v>1400</v>
      </c>
      <c r="I11" t="n">
        <v>1600</v>
      </c>
      <c r="J11" t="n">
        <v>1800</v>
      </c>
      <c r="K11" t="n">
        <v>2000</v>
      </c>
      <c r="L11" t="n">
        <v>2200</v>
      </c>
      <c r="M11" t="n">
        <v>2400</v>
      </c>
      <c r="N11" t="n">
        <v>2600</v>
      </c>
      <c r="O11" t="n">
        <v>2800</v>
      </c>
      <c r="P11" t="n">
        <v>3000</v>
      </c>
      <c r="Q11" t="n">
        <v>3200</v>
      </c>
      <c r="R11" t="n">
        <v>3400</v>
      </c>
      <c r="S11" t="n">
        <v>3600</v>
      </c>
      <c r="T11" t="n">
        <v>3800</v>
      </c>
      <c r="U11" t="n">
        <v>4000</v>
      </c>
      <c r="V11" t="n">
        <v>4200</v>
      </c>
      <c r="W11" t="n">
        <v>4400</v>
      </c>
      <c r="X11" t="n">
        <v>4600</v>
      </c>
      <c r="Y11" t="n">
        <v>4800</v>
      </c>
      <c r="Z11" t="n">
        <v>5000</v>
      </c>
      <c r="AA11" t="n">
        <v>5200</v>
      </c>
      <c r="AB11" t="n">
        <v>5400</v>
      </c>
      <c r="AC11" t="n">
        <v>5600</v>
      </c>
      <c r="AD11" t="n">
        <v>5800</v>
      </c>
      <c r="AE11" t="n">
        <v>6000</v>
      </c>
      <c r="AF11" t="n">
        <v>6200</v>
      </c>
      <c r="AG11" t="n">
        <v>6400</v>
      </c>
      <c r="AH11" t="n">
        <v>6600</v>
      </c>
      <c r="AI11" t="n">
        <v>6800</v>
      </c>
      <c r="AJ11" t="n">
        <v>7000</v>
      </c>
      <c r="AK11" t="n">
        <v>7200</v>
      </c>
      <c r="AL11" t="n">
        <v>7400</v>
      </c>
      <c r="AM11" t="n">
        <v>7600</v>
      </c>
      <c r="AN11" t="n">
        <v>7800</v>
      </c>
      <c r="AO11" t="n">
        <v>8000</v>
      </c>
      <c r="AP11" t="n">
        <v>8200</v>
      </c>
      <c r="AQ11" t="n">
        <v>8400</v>
      </c>
      <c r="AR11" t="n">
        <v>8600</v>
      </c>
      <c r="AS11" t="n">
        <v>8800</v>
      </c>
      <c r="AT11" t="n">
        <v>9000</v>
      </c>
      <c r="AU11" t="n">
        <v>9200</v>
      </c>
      <c r="AV11" t="n">
        <v>9400</v>
      </c>
      <c r="AW11" t="n">
        <v>9600</v>
      </c>
    </row>
    <row r="12">
      <c r="A12" t="inlineStr">
        <is>
          <t>1.85</t>
        </is>
      </c>
      <c r="B12" t="n">
        <v>250</v>
      </c>
      <c r="C12" t="n">
        <v>375</v>
      </c>
      <c r="D12" t="n">
        <v>500</v>
      </c>
      <c r="E12" t="n">
        <v>625</v>
      </c>
      <c r="F12" t="n">
        <v>750</v>
      </c>
      <c r="G12" t="n">
        <v>875</v>
      </c>
      <c r="H12" t="n">
        <v>1000</v>
      </c>
      <c r="I12" t="n">
        <v>1125</v>
      </c>
      <c r="J12" t="n">
        <v>1250</v>
      </c>
      <c r="K12" t="n">
        <v>1375</v>
      </c>
      <c r="L12" t="n">
        <v>1500</v>
      </c>
      <c r="M12" t="n">
        <v>1625</v>
      </c>
      <c r="N12" t="n">
        <v>1750</v>
      </c>
      <c r="O12" t="n">
        <v>1875</v>
      </c>
      <c r="P12" t="n">
        <v>2000</v>
      </c>
      <c r="Q12" t="n">
        <v>2125</v>
      </c>
      <c r="R12" t="n">
        <v>2250</v>
      </c>
      <c r="S12" t="n">
        <v>2375</v>
      </c>
      <c r="T12" t="n">
        <v>2500</v>
      </c>
      <c r="U12" t="n">
        <v>2625</v>
      </c>
      <c r="V12" t="n">
        <v>2750</v>
      </c>
      <c r="W12" t="n">
        <v>2875</v>
      </c>
      <c r="X12" t="n">
        <v>3000</v>
      </c>
      <c r="Y12" t="n">
        <v>3125</v>
      </c>
      <c r="Z12" t="n">
        <v>3250</v>
      </c>
      <c r="AA12" t="n">
        <v>3375</v>
      </c>
      <c r="AB12" t="n">
        <v>3500</v>
      </c>
      <c r="AC12" t="n">
        <v>3625</v>
      </c>
      <c r="AD12" t="n">
        <v>3750</v>
      </c>
      <c r="AE12" t="n">
        <v>3875</v>
      </c>
      <c r="AF12" t="n">
        <v>4000</v>
      </c>
      <c r="AG12" t="n">
        <v>4125</v>
      </c>
      <c r="AH12" t="n">
        <v>4250</v>
      </c>
      <c r="AI12" t="n">
        <v>4375</v>
      </c>
      <c r="AJ12" t="n">
        <v>4500</v>
      </c>
      <c r="AK12" t="n">
        <v>4625</v>
      </c>
      <c r="AL12" t="n">
        <v>4750</v>
      </c>
      <c r="AM12" t="n">
        <v>4875</v>
      </c>
      <c r="AN12" t="n">
        <v>5000</v>
      </c>
      <c r="AO12" t="n">
        <v>5125</v>
      </c>
      <c r="AP12" t="n">
        <v>5250</v>
      </c>
      <c r="AQ12" t="n">
        <v>5375</v>
      </c>
      <c r="AR12" t="n">
        <v>5500</v>
      </c>
      <c r="AS12" t="n">
        <v>5625</v>
      </c>
      <c r="AT12" t="n">
        <v>5750</v>
      </c>
      <c r="AU12" t="n">
        <v>5875</v>
      </c>
      <c r="AV12" t="n">
        <v>6000</v>
      </c>
      <c r="AW12" t="n">
        <v>6125</v>
      </c>
    </row>
    <row r="13">
      <c r="A13" t="inlineStr">
        <is>
          <t>1.80</t>
        </is>
      </c>
      <c r="B13" t="n">
        <v>300</v>
      </c>
      <c r="C13" t="n">
        <v>450</v>
      </c>
      <c r="D13" t="n">
        <v>600</v>
      </c>
      <c r="E13" t="n">
        <v>750</v>
      </c>
      <c r="F13" t="n">
        <v>900</v>
      </c>
      <c r="G13" t="n">
        <v>1050</v>
      </c>
      <c r="H13" t="n">
        <v>1200</v>
      </c>
      <c r="I13" t="n">
        <v>1350</v>
      </c>
      <c r="J13" t="n">
        <v>1500</v>
      </c>
      <c r="K13" t="n">
        <v>1650</v>
      </c>
      <c r="L13" t="n">
        <v>1800</v>
      </c>
      <c r="M13" t="n">
        <v>1950</v>
      </c>
      <c r="N13" t="n">
        <v>2100</v>
      </c>
      <c r="O13" t="n">
        <v>2250</v>
      </c>
      <c r="P13" t="n">
        <v>2400</v>
      </c>
      <c r="Q13" t="n">
        <v>2550</v>
      </c>
      <c r="R13" t="n">
        <v>2700</v>
      </c>
      <c r="S13" t="n">
        <v>2850</v>
      </c>
      <c r="T13" t="n">
        <v>3000</v>
      </c>
      <c r="U13" t="n">
        <v>3150</v>
      </c>
      <c r="V13" t="n">
        <v>3300</v>
      </c>
      <c r="W13" t="n">
        <v>3450</v>
      </c>
      <c r="X13" t="n">
        <v>3600</v>
      </c>
      <c r="Y13" t="n">
        <v>3750</v>
      </c>
      <c r="Z13" t="n">
        <v>3900</v>
      </c>
      <c r="AA13" t="n">
        <v>4050</v>
      </c>
      <c r="AB13" t="n">
        <v>4200</v>
      </c>
      <c r="AC13" t="n">
        <v>4350</v>
      </c>
      <c r="AD13" t="n">
        <v>4500</v>
      </c>
      <c r="AE13" t="n">
        <v>4650</v>
      </c>
      <c r="AF13" t="n">
        <v>4800</v>
      </c>
      <c r="AG13" t="n">
        <v>4950</v>
      </c>
      <c r="AH13" t="n">
        <v>5100</v>
      </c>
      <c r="AI13" t="n">
        <v>5250</v>
      </c>
      <c r="AJ13" t="n">
        <v>5400</v>
      </c>
      <c r="AK13" t="n">
        <v>5550</v>
      </c>
      <c r="AL13" t="n">
        <v>5700</v>
      </c>
      <c r="AM13" t="n">
        <v>5850</v>
      </c>
      <c r="AN13" t="n">
        <v>6000</v>
      </c>
      <c r="AO13" t="n">
        <v>6150</v>
      </c>
      <c r="AP13" t="n">
        <v>6300</v>
      </c>
      <c r="AQ13" t="n">
        <v>6450</v>
      </c>
      <c r="AR13" t="n">
        <v>6600</v>
      </c>
      <c r="AS13" t="n">
        <v>6750</v>
      </c>
      <c r="AT13" t="n">
        <v>6900</v>
      </c>
      <c r="AU13" t="n">
        <v>7050</v>
      </c>
      <c r="AV13" t="n">
        <v>7200</v>
      </c>
      <c r="AW13" t="n">
        <v>7350</v>
      </c>
    </row>
    <row r="14">
      <c r="A14" t="inlineStr">
        <is>
          <t>1.75</t>
        </is>
      </c>
      <c r="B14" t="n">
        <v>350</v>
      </c>
      <c r="C14" t="n">
        <v>525</v>
      </c>
      <c r="D14" t="n">
        <v>700</v>
      </c>
      <c r="E14" t="n">
        <v>875</v>
      </c>
      <c r="F14" t="n">
        <v>1050</v>
      </c>
      <c r="G14" t="n">
        <v>1225</v>
      </c>
      <c r="H14" t="n">
        <v>1400</v>
      </c>
      <c r="I14" t="n">
        <v>1575</v>
      </c>
      <c r="J14" t="n">
        <v>1750</v>
      </c>
      <c r="K14" t="n">
        <v>1925</v>
      </c>
      <c r="L14" t="n">
        <v>2100</v>
      </c>
      <c r="M14" t="n">
        <v>2275</v>
      </c>
      <c r="N14" t="n">
        <v>2450</v>
      </c>
      <c r="O14" t="n">
        <v>2625</v>
      </c>
      <c r="P14" t="n">
        <v>2800</v>
      </c>
      <c r="Q14" t="n">
        <v>2975</v>
      </c>
      <c r="R14" t="n">
        <v>3150</v>
      </c>
      <c r="S14" t="n">
        <v>3325</v>
      </c>
      <c r="T14" t="n">
        <v>3500</v>
      </c>
      <c r="U14" t="n">
        <v>3675</v>
      </c>
      <c r="V14" t="n">
        <v>3850</v>
      </c>
      <c r="W14" t="n">
        <v>4025</v>
      </c>
      <c r="X14" t="n">
        <v>4200</v>
      </c>
      <c r="Y14" t="n">
        <v>4375</v>
      </c>
      <c r="Z14" t="n">
        <v>4550</v>
      </c>
      <c r="AA14" t="n">
        <v>4725</v>
      </c>
      <c r="AB14" t="n">
        <v>4900</v>
      </c>
      <c r="AC14" t="n">
        <v>5075</v>
      </c>
      <c r="AD14" t="n">
        <v>5250</v>
      </c>
      <c r="AE14" t="n">
        <v>5425</v>
      </c>
      <c r="AF14" t="n">
        <v>5600</v>
      </c>
      <c r="AG14" t="n">
        <v>5775</v>
      </c>
      <c r="AH14" t="n">
        <v>5950</v>
      </c>
      <c r="AI14" t="n">
        <v>6125</v>
      </c>
      <c r="AJ14" t="n">
        <v>6300</v>
      </c>
      <c r="AK14" t="n">
        <v>6475</v>
      </c>
      <c r="AL14" t="n">
        <v>6650</v>
      </c>
      <c r="AM14" t="n">
        <v>6825</v>
      </c>
      <c r="AN14" t="n">
        <v>7000</v>
      </c>
      <c r="AO14" t="n">
        <v>7175</v>
      </c>
      <c r="AP14" t="n">
        <v>7350</v>
      </c>
      <c r="AQ14" t="n">
        <v>7525</v>
      </c>
      <c r="AR14" t="n">
        <v>7700</v>
      </c>
      <c r="AS14" t="n">
        <v>7875</v>
      </c>
      <c r="AT14" t="n">
        <v>8050</v>
      </c>
      <c r="AU14" t="n">
        <v>8225</v>
      </c>
      <c r="AV14" t="n">
        <v>8400</v>
      </c>
      <c r="AW14" t="n">
        <v>8575</v>
      </c>
    </row>
    <row r="15">
      <c r="A15" t="inlineStr">
        <is>
          <t>1.70</t>
        </is>
      </c>
      <c r="B15" t="n">
        <v>400</v>
      </c>
      <c r="C15" t="n">
        <v>600</v>
      </c>
      <c r="D15" t="n">
        <v>800</v>
      </c>
      <c r="E15" t="n">
        <v>1000</v>
      </c>
      <c r="F15" t="n">
        <v>1200</v>
      </c>
      <c r="G15" t="n">
        <v>1400</v>
      </c>
      <c r="H15" t="n">
        <v>1600</v>
      </c>
      <c r="I15" t="n">
        <v>1800</v>
      </c>
      <c r="J15" t="n">
        <v>2000</v>
      </c>
      <c r="K15" t="n">
        <v>2200</v>
      </c>
      <c r="L15" t="n">
        <v>2400</v>
      </c>
      <c r="M15" t="n">
        <v>2600</v>
      </c>
      <c r="N15" t="n">
        <v>2800</v>
      </c>
      <c r="O15" t="n">
        <v>3000</v>
      </c>
      <c r="P15" t="n">
        <v>3200</v>
      </c>
      <c r="Q15" t="n">
        <v>3400</v>
      </c>
      <c r="R15" t="n">
        <v>3600</v>
      </c>
      <c r="S15" t="n">
        <v>3800</v>
      </c>
      <c r="T15" t="n">
        <v>4000</v>
      </c>
      <c r="U15" t="n">
        <v>4200</v>
      </c>
      <c r="V15" t="n">
        <v>4400</v>
      </c>
      <c r="W15" t="n">
        <v>4600</v>
      </c>
      <c r="X15" t="n">
        <v>4800</v>
      </c>
      <c r="Y15" t="n">
        <v>5000</v>
      </c>
      <c r="Z15" t="n">
        <v>5200</v>
      </c>
      <c r="AA15" t="n">
        <v>5400</v>
      </c>
      <c r="AB15" t="n">
        <v>5600</v>
      </c>
      <c r="AC15" t="n">
        <v>5800</v>
      </c>
      <c r="AD15" t="n">
        <v>6000</v>
      </c>
      <c r="AE15" t="n">
        <v>6200</v>
      </c>
      <c r="AF15" t="n">
        <v>6400</v>
      </c>
      <c r="AG15" t="n">
        <v>6600</v>
      </c>
      <c r="AH15" t="n">
        <v>6800</v>
      </c>
      <c r="AI15" t="n">
        <v>7000</v>
      </c>
      <c r="AJ15" t="n">
        <v>7200</v>
      </c>
      <c r="AK15" t="n">
        <v>7400</v>
      </c>
      <c r="AL15" t="n">
        <v>7600</v>
      </c>
      <c r="AM15" t="n">
        <v>7800</v>
      </c>
      <c r="AN15" t="n">
        <v>8000</v>
      </c>
      <c r="AO15" t="n">
        <v>8200</v>
      </c>
      <c r="AP15" t="n">
        <v>8400</v>
      </c>
      <c r="AQ15" t="n">
        <v>8600</v>
      </c>
      <c r="AR15" t="n">
        <v>8800</v>
      </c>
      <c r="AS15" t="n">
        <v>9000</v>
      </c>
      <c r="AT15" t="n">
        <v>9200</v>
      </c>
      <c r="AU15" t="n">
        <v>9400</v>
      </c>
      <c r="AV15" t="n">
        <v>9600</v>
      </c>
      <c r="AW15" t="n">
        <v>9800</v>
      </c>
    </row>
    <row r="16">
      <c r="A16" t="inlineStr">
        <is>
          <t>1.65</t>
        </is>
      </c>
      <c r="B16" t="n">
        <v>450</v>
      </c>
      <c r="C16" t="n">
        <v>675</v>
      </c>
      <c r="D16" t="n">
        <v>900</v>
      </c>
      <c r="E16" t="n">
        <v>1125</v>
      </c>
      <c r="F16" t="n">
        <v>1350</v>
      </c>
      <c r="G16" t="n">
        <v>1575</v>
      </c>
      <c r="H16" t="n">
        <v>1800</v>
      </c>
      <c r="I16" t="n">
        <v>2025</v>
      </c>
      <c r="J16" t="n">
        <v>2250</v>
      </c>
      <c r="K16" t="n">
        <v>2475</v>
      </c>
      <c r="L16" t="n">
        <v>2700</v>
      </c>
      <c r="M16" t="n">
        <v>2925</v>
      </c>
      <c r="N16" t="n">
        <v>3150</v>
      </c>
      <c r="O16" t="n">
        <v>3375</v>
      </c>
      <c r="P16" t="n">
        <v>3600</v>
      </c>
      <c r="Q16" t="n">
        <v>3825</v>
      </c>
      <c r="R16" t="n">
        <v>4050</v>
      </c>
      <c r="S16" t="n">
        <v>4275</v>
      </c>
      <c r="T16" t="n">
        <v>4500</v>
      </c>
      <c r="U16" t="n">
        <v>4725</v>
      </c>
      <c r="V16" t="n">
        <v>4950</v>
      </c>
      <c r="W16" t="n">
        <v>5175</v>
      </c>
      <c r="X16" t="n">
        <v>5400</v>
      </c>
      <c r="Y16" t="n">
        <v>5625</v>
      </c>
      <c r="Z16" t="n">
        <v>5850</v>
      </c>
      <c r="AA16" t="n">
        <v>6075</v>
      </c>
      <c r="AB16" t="n">
        <v>6300</v>
      </c>
      <c r="AC16" t="n">
        <v>6525</v>
      </c>
      <c r="AD16" t="n">
        <v>6750</v>
      </c>
      <c r="AE16" t="n">
        <v>6975</v>
      </c>
      <c r="AF16" t="n">
        <v>7200</v>
      </c>
      <c r="AG16" t="n">
        <v>7425</v>
      </c>
      <c r="AH16" t="n">
        <v>7650</v>
      </c>
      <c r="AI16" t="n">
        <v>7875</v>
      </c>
      <c r="AJ16" t="n">
        <v>8100</v>
      </c>
      <c r="AK16" t="n">
        <v>8325</v>
      </c>
      <c r="AL16" t="n">
        <v>8550</v>
      </c>
      <c r="AM16" t="n">
        <v>8775</v>
      </c>
      <c r="AN16" t="n">
        <v>9000</v>
      </c>
      <c r="AO16" t="n">
        <v>9225</v>
      </c>
      <c r="AP16" t="n">
        <v>9450</v>
      </c>
      <c r="AQ16" t="n">
        <v>9675</v>
      </c>
      <c r="AR16" t="n">
        <v>9900</v>
      </c>
      <c r="AS16" t="n">
        <v>10125</v>
      </c>
      <c r="AT16" t="n">
        <v>10350</v>
      </c>
      <c r="AU16" t="n">
        <v>10575</v>
      </c>
      <c r="AV16" t="n">
        <v>10800</v>
      </c>
      <c r="AW16" t="n">
        <v>11025</v>
      </c>
    </row>
    <row r="17">
      <c r="A17" t="inlineStr">
        <is>
          <t>1.60</t>
        </is>
      </c>
      <c r="B17" t="n">
        <v>500</v>
      </c>
      <c r="C17" t="n">
        <v>750</v>
      </c>
      <c r="D17" t="n">
        <v>1000</v>
      </c>
      <c r="E17" t="n">
        <v>1250</v>
      </c>
      <c r="F17" t="n">
        <v>1500</v>
      </c>
      <c r="G17" t="n">
        <v>1750</v>
      </c>
      <c r="H17" t="n">
        <v>2000</v>
      </c>
      <c r="I17" t="n">
        <v>2250</v>
      </c>
      <c r="J17" t="n">
        <v>2500</v>
      </c>
      <c r="K17" t="n">
        <v>2750</v>
      </c>
      <c r="L17" t="n">
        <v>3000</v>
      </c>
      <c r="M17" t="n">
        <v>3250</v>
      </c>
      <c r="N17" t="n">
        <v>3500</v>
      </c>
      <c r="O17" t="n">
        <v>3750</v>
      </c>
      <c r="P17" t="n">
        <v>4000</v>
      </c>
      <c r="Q17" t="n">
        <v>4250</v>
      </c>
      <c r="R17" t="n">
        <v>4500</v>
      </c>
      <c r="S17" t="n">
        <v>4750</v>
      </c>
      <c r="T17" t="n">
        <v>5000</v>
      </c>
      <c r="U17" t="n">
        <v>5250</v>
      </c>
      <c r="V17" t="n">
        <v>5500</v>
      </c>
      <c r="W17" t="n">
        <v>5750</v>
      </c>
      <c r="X17" t="n">
        <v>6000</v>
      </c>
      <c r="Y17" t="n">
        <v>6250</v>
      </c>
      <c r="Z17" t="n">
        <v>6500</v>
      </c>
      <c r="AA17" t="n">
        <v>6750</v>
      </c>
      <c r="AB17" t="n">
        <v>7000</v>
      </c>
      <c r="AC17" t="n">
        <v>7250</v>
      </c>
      <c r="AD17" t="n">
        <v>7500</v>
      </c>
      <c r="AE17" t="n">
        <v>7750</v>
      </c>
      <c r="AF17" t="n">
        <v>8000</v>
      </c>
      <c r="AG17" t="n">
        <v>8250</v>
      </c>
      <c r="AH17" t="n">
        <v>8500</v>
      </c>
      <c r="AI17" t="n">
        <v>8750</v>
      </c>
      <c r="AJ17" t="n">
        <v>9000</v>
      </c>
      <c r="AK17" t="n">
        <v>9250</v>
      </c>
      <c r="AL17" t="n">
        <v>9500</v>
      </c>
      <c r="AM17" t="n">
        <v>9750</v>
      </c>
      <c r="AN17" t="n">
        <v>10000</v>
      </c>
      <c r="AO17" t="n">
        <v>10250</v>
      </c>
      <c r="AP17" t="n">
        <v>10500</v>
      </c>
      <c r="AQ17" t="n">
        <v>10750</v>
      </c>
      <c r="AR17" t="n">
        <v>11000</v>
      </c>
      <c r="AS17" t="n">
        <v>11250</v>
      </c>
      <c r="AT17" t="n">
        <v>11500</v>
      </c>
      <c r="AU17" t="n">
        <v>11750</v>
      </c>
      <c r="AV17" t="n">
        <v>12000</v>
      </c>
      <c r="AW17" t="n">
        <v>12250</v>
      </c>
    </row>
    <row r="18">
      <c r="A18" t="inlineStr">
        <is>
          <t>1.55</t>
        </is>
      </c>
      <c r="B18" t="n">
        <v>550</v>
      </c>
      <c r="C18" t="n">
        <v>825</v>
      </c>
      <c r="D18" t="n">
        <v>1100</v>
      </c>
      <c r="E18" t="n">
        <v>1375</v>
      </c>
      <c r="F18" t="n">
        <v>1650</v>
      </c>
      <c r="G18" t="n">
        <v>1925</v>
      </c>
      <c r="H18" t="n">
        <v>2200</v>
      </c>
      <c r="I18" t="n">
        <v>2475</v>
      </c>
      <c r="J18" t="n">
        <v>2750</v>
      </c>
      <c r="K18" t="n">
        <v>3025</v>
      </c>
      <c r="L18" t="n">
        <v>3300</v>
      </c>
      <c r="M18" t="n">
        <v>3575</v>
      </c>
      <c r="N18" t="n">
        <v>3850</v>
      </c>
      <c r="O18" t="n">
        <v>4125</v>
      </c>
      <c r="P18" t="n">
        <v>4400</v>
      </c>
      <c r="Q18" t="n">
        <v>4675</v>
      </c>
      <c r="R18" t="n">
        <v>4950</v>
      </c>
      <c r="S18" t="n">
        <v>5225</v>
      </c>
      <c r="T18" t="n">
        <v>5500</v>
      </c>
      <c r="U18" t="n">
        <v>5775</v>
      </c>
      <c r="V18" t="n">
        <v>6050</v>
      </c>
      <c r="W18" t="n">
        <v>6325</v>
      </c>
      <c r="X18" t="n">
        <v>6600</v>
      </c>
      <c r="Y18" t="n">
        <v>6875</v>
      </c>
      <c r="Z18" t="n">
        <v>7150</v>
      </c>
      <c r="AA18" t="n">
        <v>7425</v>
      </c>
      <c r="AB18" t="n">
        <v>7700</v>
      </c>
      <c r="AC18" t="n">
        <v>7975</v>
      </c>
      <c r="AD18" t="n">
        <v>8250</v>
      </c>
      <c r="AE18" t="n">
        <v>8525</v>
      </c>
      <c r="AF18" t="n">
        <v>8800</v>
      </c>
      <c r="AG18" t="n">
        <v>9075</v>
      </c>
      <c r="AH18" t="n">
        <v>9350</v>
      </c>
      <c r="AI18" t="n">
        <v>9625</v>
      </c>
      <c r="AJ18" t="n">
        <v>9900</v>
      </c>
      <c r="AK18" t="n">
        <v>10175</v>
      </c>
      <c r="AL18" t="n">
        <v>10450</v>
      </c>
      <c r="AM18" t="n">
        <v>10725</v>
      </c>
      <c r="AN18" t="n">
        <v>11000</v>
      </c>
      <c r="AO18" t="n">
        <v>11275</v>
      </c>
      <c r="AP18" t="n">
        <v>11550</v>
      </c>
      <c r="AQ18" t="n">
        <v>11825</v>
      </c>
      <c r="AR18" t="n">
        <v>12100</v>
      </c>
      <c r="AS18" t="n">
        <v>12375</v>
      </c>
      <c r="AT18" t="n">
        <v>12650</v>
      </c>
      <c r="AU18" t="n">
        <v>12925</v>
      </c>
      <c r="AV18" t="n">
        <v>13200</v>
      </c>
      <c r="AW18" t="n">
        <v>13475</v>
      </c>
    </row>
    <row r="19">
      <c r="A19" t="inlineStr">
        <is>
          <t>1.50</t>
        </is>
      </c>
      <c r="B19" t="n">
        <v>600</v>
      </c>
      <c r="C19" t="n">
        <v>900</v>
      </c>
      <c r="D19" t="n">
        <v>1200</v>
      </c>
      <c r="E19" t="n">
        <v>1500</v>
      </c>
      <c r="F19" t="n">
        <v>1800</v>
      </c>
      <c r="G19" t="n">
        <v>2100</v>
      </c>
      <c r="H19" t="n">
        <v>2400</v>
      </c>
      <c r="I19" t="n">
        <v>2700</v>
      </c>
      <c r="J19" t="n">
        <v>3000</v>
      </c>
      <c r="K19" t="n">
        <v>3300</v>
      </c>
      <c r="L19" t="n">
        <v>3600</v>
      </c>
      <c r="M19" t="n">
        <v>3900</v>
      </c>
      <c r="N19" t="n">
        <v>4200</v>
      </c>
      <c r="O19" t="n">
        <v>4500</v>
      </c>
      <c r="P19" t="n">
        <v>4800</v>
      </c>
      <c r="Q19" t="n">
        <v>5100</v>
      </c>
      <c r="R19" t="n">
        <v>5400</v>
      </c>
      <c r="S19" t="n">
        <v>5700</v>
      </c>
      <c r="T19" t="n">
        <v>6000</v>
      </c>
      <c r="U19" t="n">
        <v>6300</v>
      </c>
      <c r="V19" t="n">
        <v>6600</v>
      </c>
      <c r="W19" t="n">
        <v>6900</v>
      </c>
      <c r="X19" t="n">
        <v>7200</v>
      </c>
      <c r="Y19" t="n">
        <v>7500</v>
      </c>
      <c r="Z19" t="n">
        <v>7800</v>
      </c>
      <c r="AA19" t="n">
        <v>8100</v>
      </c>
      <c r="AB19" t="n">
        <v>8400</v>
      </c>
      <c r="AC19" t="n">
        <v>8700</v>
      </c>
      <c r="AD19" t="n">
        <v>9000</v>
      </c>
      <c r="AE19" t="n">
        <v>9300</v>
      </c>
      <c r="AF19" t="n">
        <v>9600</v>
      </c>
      <c r="AG19" t="n">
        <v>9900</v>
      </c>
      <c r="AH19" t="n">
        <v>10200</v>
      </c>
      <c r="AI19" t="n">
        <v>10500</v>
      </c>
      <c r="AJ19" t="n">
        <v>10800</v>
      </c>
      <c r="AK19" t="n">
        <v>11100</v>
      </c>
      <c r="AL19" t="n">
        <v>11400</v>
      </c>
      <c r="AM19" t="n">
        <v>11700</v>
      </c>
      <c r="AN19" t="n">
        <v>12000</v>
      </c>
      <c r="AO19" t="n">
        <v>12300</v>
      </c>
      <c r="AP19" t="n">
        <v>12600</v>
      </c>
      <c r="AQ19" t="n">
        <v>12900</v>
      </c>
      <c r="AR19" t="n">
        <v>13200</v>
      </c>
      <c r="AS19" t="n">
        <v>13500</v>
      </c>
      <c r="AT19" t="n">
        <v>13800</v>
      </c>
      <c r="AU19" t="n">
        <v>14100</v>
      </c>
      <c r="AV19" t="n">
        <v>14400</v>
      </c>
      <c r="AW19" t="n">
        <v>14700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</cols>
  <sheetData>
    <row r="1">
      <c r="A1" s="6" t="inlineStr">
        <is>
          <t>Setting</t>
        </is>
      </c>
      <c r="B1" s="6" t="inlineStr">
        <is>
          <t>Value</t>
        </is>
      </c>
    </row>
    <row r="2">
      <c r="A2" t="inlineStr">
        <is>
          <t>Target EC of the matrix (mS/cm)</t>
        </is>
      </c>
      <c r="B2" s="7" t="n">
        <v>1.9</v>
      </c>
    </row>
    <row r="3">
      <c r="A3" t="inlineStr">
        <is>
          <t>Over-tank water EC (mS/cm) — measure it, update when it changes</t>
        </is>
      </c>
      <c r="B3" s="7" t="n">
        <v>1</v>
      </c>
    </row>
    <row r="4">
      <c r="A4" t="inlineStr">
        <is>
          <t>Default C drum (acid) cc per cm of water added</t>
        </is>
      </c>
      <c r="B4" s="7" t="n">
        <v>5</v>
      </c>
    </row>
    <row r="5">
      <c r="A5" t="inlineStr">
        <is>
          <t>Default target pH</t>
        </is>
      </c>
      <c r="B5" s="7" t="n">
        <v>6.2</v>
      </c>
    </row>
    <row r="6">
      <c r="A6" t="inlineStr">
        <is>
          <t>Two EC meters may differ by at most (mS/cm) — above this: CALIBRATE, no dose</t>
        </is>
      </c>
      <c r="B6" s="7" t="n">
        <v>0.05</v>
      </c>
    </row>
    <row r="7">
      <c r="A7" t="inlineStr">
        <is>
          <t>Two pH meters may differ by at most — above this: CALIBRATE, no dose</t>
        </is>
      </c>
      <c r="B7" s="7" t="n">
        <v>0.1</v>
      </c>
    </row>
    <row r="8">
      <c r="A8" t="inlineStr">
        <is>
          <t>Round time (08:00 / 11:00 / 14:00 / 16:00)</t>
        </is>
      </c>
      <c r="B8" s="7" t="inlineStr">
        <is>
          <t>08:00</t>
        </is>
      </c>
    </row>
    <row r="10" ht="60" customHeight="1">
      <c r="A10" s="8" t="inlineStr">
        <is>
          <t>Water-source rule (Eyal to confirm): the matrix dose is reduced by the share of nutrients the added water already carries: factor = 1 − (over-tank EC ÷ target EC) × share, share = 0 pure, 1 over-tank, mix % for a mix. Example: over-tank EC 1.0, target 1.9, 50 % mix → factor 0.74 (26 % less A and 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1. Every round (08:00, 11:00, 14:00, 16:00) Reven measures each pool with BOTH EC meters and BOTH pH meters and the water level (cm), and types them in the yellow cells.</t>
        </is>
      </c>
    </row>
    <row r="2">
      <c r="A2" s="8" t="inlineStr">
        <is>
          <t>2. If the two EC meters differ by more than 0.05 (or the pH meters by more than 0.10 — Settings sheet), the row says CALIBRATE and gives no dose. Calibrate, re-measure, then dose.</t>
        </is>
      </c>
    </row>
    <row r="3">
      <c r="A3" s="8" t="inlineStr">
        <is>
          <t>3. Water source: Pure (tap / deep-well), Over-tank (water that already carries nutrients — set its EC on Settings), or Mix with the % of over-tank water.</t>
        </is>
      </c>
    </row>
    <row r="4">
      <c r="A4" s="8" t="inlineStr">
        <is>
          <t>4. Nexi's answer in green: litres of water to reach the target level, cc of A, cc of B (same as A), cc of C (acid), and one instruction line.</t>
        </is>
      </c>
    </row>
    <row r="5">
      <c r="A5" s="8" t="inlineStr">
        <is>
          <t>5. A and B = EC matrix (row = EC rounded to 0.05, column = cm to add) × pool template (Pool 9 ×1.5, Pools 7 &amp; 8 ×0.67) × water-source factor. EC below 1.50 uses the 1.50 row; above 2.35 → water only, re-check.</t>
        </is>
      </c>
    </row>
    <row r="6">
      <c r="A6" s="8" t="inlineStr">
        <is>
          <t>6. C (acid) = cm to add × cc/cm × pH factor, factor = 1 + (pH − target pH), between 0.5 and 2.0.</t>
        </is>
      </c>
    </row>
    <row r="7">
      <c r="A7" s="8" t="inlineStr">
        <is>
          <t>7. The same numbers come from Nexi: Irrigation ▸ Pool Monitoring auto-fills A, B, C; 📋 Export for Reven gives this sheet filled from the day's readings.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2026-10-05T03:27:21Z</dcterms:created>
  <dcterms:modified xmlns:dcterms="http://purl.org/dc/terms/" xmlns:xsi="http://www.w3.org/2001/XMLSchema-instance" xsi:type="dcterms:W3CDTF">2026-10-05T03:27:21Z</dcterms:modified>
</cp:coreProperties>
</file>