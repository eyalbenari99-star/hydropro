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 to Apple" sheetId="1" state="visible" r:id="rId1"/>
    <sheet xmlns:r="http://schemas.openxmlformats.org/officeDocument/2006/relationships" name="Original qu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  <color rgb="00000000"/>
    </font>
    <font>
      <color rgb="00000000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5" customWidth="1" min="4" max="4"/>
    <col width="15" customWidth="1" min="5" max="5"/>
    <col width="16" customWidth="1" min="6" max="6"/>
    <col width="13" customWidth="1" min="7" max="7"/>
    <col width="12" customWidth="1" min="8" max="8"/>
    <col width="12" customWidth="1" min="9" max="9"/>
    <col width="18" customWidth="1" min="10" max="10"/>
    <col width="15" customWidth="1" min="11" max="11"/>
    <col width="55" customWidth="1" min="12" max="12"/>
  </cols>
  <sheetData>
    <row r="1">
      <c r="A1" s="1" t="inlineStr">
        <is>
          <t>GH15 Water Drainage — Sand + Gravel 12 m³ each · Apple-to-Apple Canvas</t>
        </is>
      </c>
    </row>
    <row r="2">
      <c r="A2" s="2" t="inlineStr">
        <is>
          <t>Source: ATERETPAZ canvas sheet as of 10/06/2026 · all prices normalised to what you pay for 12 m³ of each</t>
        </is>
      </c>
    </row>
    <row r="3">
      <c r="A3" s="3" t="inlineStr">
        <is>
          <t>DELIVERY: SIDE OF GH15 ONLY — not the road, not far, not anywhere else. Supplier must commit in writing before award.</t>
        </is>
      </c>
    </row>
    <row r="5">
      <c r="A5" s="4" t="inlineStr">
        <is>
          <t>Rank</t>
        </is>
      </c>
      <c r="B5" s="4" t="inlineStr">
        <is>
          <t>Supplier</t>
        </is>
      </c>
      <c r="C5" s="4" t="inlineStr">
        <is>
          <t>Option</t>
        </is>
      </c>
      <c r="D5" s="4" t="inlineStr">
        <is>
          <t>Sand ₱ (12 m³)</t>
        </is>
      </c>
      <c r="E5" s="4" t="inlineStr">
        <is>
          <t>Gravel ₱ (12 m³)</t>
        </is>
      </c>
      <c r="F5" s="4" t="inlineStr">
        <is>
          <t>Sand + Gravel ₱</t>
        </is>
      </c>
      <c r="G5" s="4" t="inlineStr">
        <is>
          <t>₱ per m³ (avg)</t>
        </is>
      </c>
      <c r="H5" s="4" t="inlineStr">
        <is>
          <t>m³ actually delivered</t>
        </is>
      </c>
      <c r="I5" s="4" t="inlineStr">
        <is>
          <t>Delivery included?</t>
        </is>
      </c>
      <c r="J5" s="4" t="inlineStr">
        <is>
          <t>GH15 side drop-off committed?</t>
        </is>
      </c>
      <c r="K5" s="4" t="inlineStr">
        <is>
          <t>Status</t>
        </is>
      </c>
      <c r="L5" s="4" t="inlineStr">
        <is>
          <t>Notes</t>
        </is>
      </c>
    </row>
    <row r="6">
      <c r="A6" s="5" t="n">
        <v>1</v>
      </c>
      <c r="B6" s="5" t="inlineStr">
        <is>
          <t>FAMOUS</t>
        </is>
      </c>
      <c r="C6" s="5" t="inlineStr">
        <is>
          <t>3 m³ truck × 4 (Option A)</t>
        </is>
      </c>
      <c r="D6" s="6" t="n">
        <v>12000</v>
      </c>
      <c r="E6" s="6" t="n">
        <v>12400</v>
      </c>
      <c r="F6" s="6">
        <f>D6+E6</f>
        <v/>
      </c>
      <c r="G6" s="6">
        <f>F6/24</f>
        <v/>
      </c>
      <c r="H6" s="5" t="inlineStr">
        <is>
          <t>12</t>
        </is>
      </c>
      <c r="I6" s="7" t="inlineStr">
        <is>
          <t>Unclear</t>
        </is>
      </c>
      <c r="J6" s="8" t="inlineStr">
        <is>
          <t>NOT YET — must confirm</t>
        </is>
      </c>
      <c r="K6" s="7" t="inlineStr">
        <is>
          <t>Confirm first</t>
        </is>
      </c>
      <c r="L6" s="5" t="inlineStr">
        <is>
          <t>⚠ ONLY if ₱3,000/₱3,100 is per whole truck — confirm in writing</t>
        </is>
      </c>
    </row>
    <row r="7">
      <c r="A7" s="5" t="n">
        <v>2</v>
      </c>
      <c r="B7" s="5" t="inlineStr">
        <is>
          <t>SAN YIN / TRIOX</t>
        </is>
      </c>
      <c r="C7" s="5" t="inlineStr">
        <is>
          <t>Mini Dump 3 m³ × 4 trucks</t>
        </is>
      </c>
      <c r="D7" s="6" t="n">
        <v>22400</v>
      </c>
      <c r="E7" s="6" t="n">
        <v>24000</v>
      </c>
      <c r="F7" s="6">
        <f>D7+E7</f>
        <v/>
      </c>
      <c r="G7" s="6">
        <f>F7/24</f>
        <v/>
      </c>
      <c r="H7" s="5" t="inlineStr">
        <is>
          <t>12</t>
        </is>
      </c>
      <c r="I7" s="9" t="inlineStr">
        <is>
          <t>Yes</t>
        </is>
      </c>
      <c r="J7" s="8" t="inlineStr">
        <is>
          <t>NOT YET — must confirm</t>
        </is>
      </c>
      <c r="K7" s="9" t="inlineStr">
        <is>
          <t>Valid</t>
        </is>
      </c>
      <c r="L7" s="5" t="inlineStr">
        <is>
          <t>₱5,600 sand / ₱6,000 gravel per truck</t>
        </is>
      </c>
    </row>
    <row r="8">
      <c r="A8" s="5" t="n">
        <v>3</v>
      </c>
      <c r="B8" s="5" t="inlineStr">
        <is>
          <t>SWCC Hardware</t>
        </is>
      </c>
      <c r="C8" s="5" t="inlineStr">
        <is>
          <t>Loose, material only</t>
        </is>
      </c>
      <c r="D8" s="6" t="n">
        <v>24000</v>
      </c>
      <c r="E8" s="6" t="n">
        <v>24600</v>
      </c>
      <c r="F8" s="6">
        <f>D8+E8</f>
        <v/>
      </c>
      <c r="G8" s="6">
        <f>F8/24</f>
        <v/>
      </c>
      <c r="H8" s="5" t="inlineStr">
        <is>
          <t>12</t>
        </is>
      </c>
      <c r="I8" s="8" t="inlineStr">
        <is>
          <t>NO</t>
        </is>
      </c>
      <c r="J8" s="8" t="inlineStr">
        <is>
          <t>NOT YET — must confirm</t>
        </is>
      </c>
      <c r="K8" s="8" t="inlineStr">
        <is>
          <t>Not comparable</t>
        </is>
      </c>
      <c r="L8" s="5" t="inlineStr">
        <is>
          <t>⚠ DELIVERY NOT INCLUDED — not comparable until delivery to GH15 quoted</t>
        </is>
      </c>
    </row>
    <row r="9">
      <c r="A9" s="5" t="n">
        <v>4</v>
      </c>
      <c r="B9" s="5" t="inlineStr">
        <is>
          <t>SAN YIN / TRIOX</t>
        </is>
      </c>
      <c r="C9" s="5" t="inlineStr">
        <is>
          <t>Loose / per m³</t>
        </is>
      </c>
      <c r="D9" s="6" t="n">
        <v>28800</v>
      </c>
      <c r="E9" s="6" t="n">
        <v>31200</v>
      </c>
      <c r="F9" s="6">
        <f>D9+E9</f>
        <v/>
      </c>
      <c r="G9" s="6">
        <f>F9/24</f>
        <v/>
      </c>
      <c r="H9" s="5" t="inlineStr">
        <is>
          <t>12</t>
        </is>
      </c>
      <c r="I9" s="7" t="inlineStr">
        <is>
          <t>Unclear</t>
        </is>
      </c>
      <c r="J9" s="8" t="inlineStr">
        <is>
          <t>NOT YET — must confirm</t>
        </is>
      </c>
      <c r="K9" s="7" t="inlineStr">
        <is>
          <t>Confirm first</t>
        </is>
      </c>
      <c r="L9" s="5" t="inlineStr">
        <is>
          <t>Loose rate; delivery to GH15 not stated — confirm</t>
        </is>
      </c>
    </row>
    <row r="10">
      <c r="A10" s="5" t="n">
        <v>5</v>
      </c>
      <c r="B10" s="5" t="inlineStr">
        <is>
          <t>FAMOUS</t>
        </is>
      </c>
      <c r="C10" s="5" t="inlineStr">
        <is>
          <t>Per m³ (Option B)</t>
        </is>
      </c>
      <c r="D10" s="6" t="n">
        <v>36000</v>
      </c>
      <c r="E10" s="6" t="n">
        <v>37200</v>
      </c>
      <c r="F10" s="6">
        <f>D10+E10</f>
        <v/>
      </c>
      <c r="G10" s="6">
        <f>F10/24</f>
        <v/>
      </c>
      <c r="H10" s="5" t="inlineStr">
        <is>
          <t>12</t>
        </is>
      </c>
      <c r="I10" s="9" t="inlineStr">
        <is>
          <t>Yes</t>
        </is>
      </c>
      <c r="J10" s="8" t="inlineStr">
        <is>
          <t>NOT YET — must confirm</t>
        </is>
      </c>
      <c r="K10" s="9" t="inlineStr">
        <is>
          <t>Valid</t>
        </is>
      </c>
      <c r="L10" s="5" t="inlineStr">
        <is>
          <t>If the price is per 1 m³</t>
        </is>
      </c>
    </row>
    <row r="11">
      <c r="A11" s="5" t="n">
        <v>6</v>
      </c>
      <c r="B11" s="5" t="inlineStr">
        <is>
          <t>SAN YIN / TRIOX</t>
        </is>
      </c>
      <c r="C11" s="5" t="inlineStr">
        <is>
          <t>Forward 8 m³ × 2 trucks</t>
        </is>
      </c>
      <c r="D11" s="6" t="n">
        <v>38000</v>
      </c>
      <c r="E11" s="6" t="n">
        <v>40000</v>
      </c>
      <c r="F11" s="6">
        <f>D11+E11</f>
        <v/>
      </c>
      <c r="G11" s="6">
        <f>F11/24</f>
        <v/>
      </c>
      <c r="H11" s="5" t="inlineStr">
        <is>
          <t>16</t>
        </is>
      </c>
      <c r="I11" s="9" t="inlineStr">
        <is>
          <t>Yes</t>
        </is>
      </c>
      <c r="J11" s="8" t="inlineStr">
        <is>
          <t>NOT YET — must confirm</t>
        </is>
      </c>
      <c r="K11" s="9" t="inlineStr">
        <is>
          <t>Valid</t>
        </is>
      </c>
      <c r="L11" s="5" t="inlineStr">
        <is>
          <t>Pay for 16 m³ (4 m³ surplus)</t>
        </is>
      </c>
    </row>
    <row r="12">
      <c r="A12" s="5" t="n">
        <v>7</v>
      </c>
      <c r="B12" s="5" t="inlineStr">
        <is>
          <t>CHRIBAS</t>
        </is>
      </c>
      <c r="C12" s="5" t="inlineStr">
        <is>
          <t>Large truck 8.5–9 m³ × 2</t>
        </is>
      </c>
      <c r="D12" s="6" t="n">
        <v>40400</v>
      </c>
      <c r="E12" s="6" t="n">
        <v>42600</v>
      </c>
      <c r="F12" s="6">
        <f>D12+E12</f>
        <v/>
      </c>
      <c r="G12" s="6">
        <f>F12/24</f>
        <v/>
      </c>
      <c r="H12" s="5" t="inlineStr">
        <is>
          <t>17–18</t>
        </is>
      </c>
      <c r="I12" s="9" t="inlineStr">
        <is>
          <t>Yes</t>
        </is>
      </c>
      <c r="J12" s="8" t="inlineStr">
        <is>
          <t>NOT YET — must confirm</t>
        </is>
      </c>
      <c r="K12" s="9" t="inlineStr">
        <is>
          <t>Valid</t>
        </is>
      </c>
      <c r="L12" s="5" t="inlineStr">
        <is>
          <t>Pay for ~17–18 m³</t>
        </is>
      </c>
    </row>
    <row r="13">
      <c r="A13" s="5" t="n">
        <v>8</v>
      </c>
      <c r="B13" s="5" t="inlineStr">
        <is>
          <t>SWCC Hardware</t>
        </is>
      </c>
      <c r="C13" s="5" t="inlineStr">
        <is>
          <t>Elf 2.7 m³ × 5 trips</t>
        </is>
      </c>
      <c r="D13" s="6" t="n">
        <v>43200</v>
      </c>
      <c r="E13" s="6" t="n">
        <v>44280</v>
      </c>
      <c r="F13" s="6">
        <f>D13+E13</f>
        <v/>
      </c>
      <c r="G13" s="6">
        <f>F13/24</f>
        <v/>
      </c>
      <c r="H13" s="5" t="inlineStr">
        <is>
          <t>13.5</t>
        </is>
      </c>
      <c r="I13" s="9" t="inlineStr">
        <is>
          <t>Yes</t>
        </is>
      </c>
      <c r="J13" s="8" t="inlineStr">
        <is>
          <t>NOT YET — must confirm</t>
        </is>
      </c>
      <c r="K13" s="9" t="inlineStr">
        <is>
          <t>Valid</t>
        </is>
      </c>
      <c r="L13" s="5" t="inlineStr">
        <is>
          <t>Package delivered</t>
        </is>
      </c>
    </row>
    <row r="15" ht="30" customHeight="1">
      <c r="A15" s="10" t="inlineStr">
        <is>
          <t>RECOMMENDATION</t>
        </is>
      </c>
    </row>
    <row r="16" ht="30" customHeight="1">
      <c r="A16" s="11" t="inlineStr">
        <is>
          <t>1. FAMOUS Option A (₱24,400 for both) — cheapest by far, BUT only if FAMOUS confirms in writing the ₱3,000 / ₱3,100 is per 3 m³ truck AND drop-off at the side of GH15. If they confirm → award.</t>
        </is>
      </c>
    </row>
    <row r="17" ht="30" customHeight="1">
      <c r="A17" s="11" t="inlineStr">
        <is>
          <t>2. If FAMOUS is per m³ → SAN YIN / TRIOX Mini Dump 3 m³ × 4 (₱46,400 for both, exactly 12 m³ each, no surplus) — best confirmed delivered price. Confirm GH15 side drop-off.</t>
        </is>
      </c>
    </row>
    <row r="18" ht="30" customHeight="1">
      <c r="A18" s="11" t="inlineStr">
        <is>
          <t>3. SWCC loose (₱48,600) is NOT comparable — material only; ask them for delivery to GH15 before it can compete.</t>
        </is>
      </c>
    </row>
    <row r="19" ht="30" customHeight="1">
      <c r="A19" s="11" t="inlineStr">
        <is>
          <t>Forward / large trucks (SAN YIN 8 m³, CHRIBAS) and SWCC Elf cost ₱78,000–87,480: you pay for 16–18 m³ when you need 12 — only if extra stock is wanted.</t>
        </is>
      </c>
    </row>
    <row r="20" ht="30" customHeight="1">
      <c r="A20" s="12" t="inlineStr">
        <is>
          <t>NO award to any supplier until the GH15 side drop-off is committed in writing (Nexi blocks the award until ticked).</t>
        </is>
      </c>
    </row>
  </sheetData>
  <mergeCells count="7">
    <mergeCell ref="A20:L20"/>
    <mergeCell ref="A16:L16"/>
    <mergeCell ref="A15:L15"/>
    <mergeCell ref="A19:L19"/>
    <mergeCell ref="A17:L17"/>
    <mergeCell ref="A18:L18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ATERETPAZ TECHNICOLGIES INC.</t>
        </is>
      </c>
    </row>
    <row r="2">
      <c r="A2" t="inlineStr">
        <is>
          <t>CANVAS SHEET</t>
        </is>
      </c>
    </row>
    <row r="3">
      <c r="A3" t="inlineStr">
        <is>
          <t>AS OF 10/06/2026</t>
        </is>
      </c>
    </row>
    <row r="4">
      <c r="A4" t="inlineStr">
        <is>
          <t>Purpose: for water drainage</t>
        </is>
      </c>
    </row>
    <row r="5"/>
    <row r="6">
      <c r="A6" t="inlineStr">
        <is>
          <t>SUPPLIER</t>
        </is>
      </c>
      <c r="B6" t="inlineStr">
        <is>
          <t>ITEM</t>
        </is>
      </c>
      <c r="C6" t="inlineStr">
        <is>
          <t>REQUIRED QTY</t>
        </is>
      </c>
      <c r="D6" t="inlineStr">
        <is>
          <t>UNIT</t>
        </is>
      </c>
      <c r="E6" t="inlineStr">
        <is>
          <t>TRUCK TYPE / DELIVERY OPTION</t>
        </is>
      </c>
      <c r="F6" t="inlineStr">
        <is>
          <t>PRICE PER CUBIC (m³)</t>
        </is>
      </c>
      <c r="G6" t="inlineStr">
        <is>
          <t>TOTAL AMOUNT (For 12 m³)</t>
        </is>
      </c>
      <c r="H6" t="inlineStr">
        <is>
          <t>NOTES / REMARKS</t>
        </is>
      </c>
    </row>
    <row r="7">
      <c r="A7" t="inlineStr">
        <is>
          <t>SAN YIN / TRIOX ENTERPRISE</t>
        </is>
      </c>
      <c r="B7" t="inlineStr">
        <is>
          <t>Sand</t>
        </is>
      </c>
      <c r="C7" t="n">
        <v>12</v>
      </c>
      <c r="D7" t="inlineStr">
        <is>
          <t>cubic</t>
        </is>
      </c>
      <c r="E7" t="inlineStr">
        <is>
          <t>Loose / Per Cubic Rate</t>
        </is>
      </c>
      <c r="F7" t="n">
        <v>2400</v>
      </c>
      <c r="G7" t="n">
        <v>28800</v>
      </c>
      <c r="H7" t="inlineStr">
        <is>
          <t>Standard loose rate per cubic meter.</t>
        </is>
      </c>
    </row>
    <row r="8">
      <c r="A8" t="inlineStr">
        <is>
          <t>SAN YIN / TRIOX ENTERPRISE</t>
        </is>
      </c>
      <c r="B8" t="inlineStr">
        <is>
          <t>Gravel</t>
        </is>
      </c>
      <c r="C8" t="n">
        <v>12</v>
      </c>
      <c r="D8" t="inlineStr">
        <is>
          <t>cubic</t>
        </is>
      </c>
      <c r="E8" t="inlineStr">
        <is>
          <t>Loose / Per Cubic Rate</t>
        </is>
      </c>
      <c r="F8" t="n">
        <v>2600</v>
      </c>
      <c r="G8" t="n">
        <v>31200</v>
      </c>
      <c r="H8" t="inlineStr">
        <is>
          <t>Standard loose rate per cubic meter.</t>
        </is>
      </c>
    </row>
    <row r="9">
      <c r="A9" t="inlineStr">
        <is>
          <t>SAN YIN / TRIOX ENTERPRISE</t>
        </is>
      </c>
      <c r="B9" t="inlineStr">
        <is>
          <t>Sand</t>
        </is>
      </c>
      <c r="C9" t="n">
        <v>12</v>
      </c>
      <c r="D9" t="inlineStr">
        <is>
          <t>cubic</t>
        </is>
      </c>
      <c r="E9" t="inlineStr">
        <is>
          <t>Mini Dump (3m³ load)</t>
        </is>
      </c>
      <c r="F9" t="n">
        <v>1866.67</v>
      </c>
      <c r="G9" t="n">
        <v>22400</v>
      </c>
      <c r="H9" t="inlineStr">
        <is>
          <t>₱5,600 flat price per truck load. Needs exactly 4 trucks to get 12m³.</t>
        </is>
      </c>
    </row>
    <row r="10">
      <c r="A10" t="inlineStr">
        <is>
          <t>SAN YIN / TRIOX ENTERPRISE</t>
        </is>
      </c>
      <c r="B10" t="inlineStr">
        <is>
          <t>Gravel</t>
        </is>
      </c>
      <c r="C10" t="n">
        <v>12</v>
      </c>
      <c r="D10" t="inlineStr">
        <is>
          <t>cubic</t>
        </is>
      </c>
      <c r="E10" t="inlineStr">
        <is>
          <t>Mini Dump (3m³ load)</t>
        </is>
      </c>
      <c r="F10" t="n">
        <v>2000</v>
      </c>
      <c r="G10" t="n">
        <v>24000</v>
      </c>
      <c r="H10" t="inlineStr">
        <is>
          <t>₱6,000 flat price per truck load. Needs exactly 4 trucks to get 12m³.</t>
        </is>
      </c>
    </row>
    <row r="11">
      <c r="A11" t="inlineStr">
        <is>
          <t>SAN YIN / TRIOX ENTERPRISE</t>
        </is>
      </c>
      <c r="B11" t="inlineStr">
        <is>
          <t>Sand</t>
        </is>
      </c>
      <c r="C11" t="n">
        <v>12</v>
      </c>
      <c r="D11" t="inlineStr">
        <is>
          <t>cubic</t>
        </is>
      </c>
      <c r="E11" t="inlineStr">
        <is>
          <t>Forward Truck (8m³ load)</t>
        </is>
      </c>
      <c r="F11" t="n">
        <v>2375</v>
      </c>
      <c r="G11" t="n">
        <v>38000</v>
      </c>
      <c r="H11" t="inlineStr">
        <is>
          <t>₱19,000 per truck. Must buy 2 trucks to reach 12m³ (gives 16m³ total). Fixed price.</t>
        </is>
      </c>
    </row>
    <row r="12">
      <c r="A12" t="inlineStr">
        <is>
          <t>SAN YIN / TRIOX ENTERPRISE</t>
        </is>
      </c>
      <c r="B12" t="inlineStr">
        <is>
          <t>Gravel</t>
        </is>
      </c>
      <c r="C12" t="n">
        <v>12</v>
      </c>
      <c r="D12" t="inlineStr">
        <is>
          <t>cubic</t>
        </is>
      </c>
      <c r="E12" t="inlineStr">
        <is>
          <t>Forward Truck (8m³ load)</t>
        </is>
      </c>
      <c r="F12" t="n">
        <v>2500</v>
      </c>
      <c r="G12" t="n">
        <v>40000</v>
      </c>
      <c r="H12" t="inlineStr">
        <is>
          <t>₱20,000 per truck. Must buy 2 trucks to reach 12m³ (gives 16m³ total). Fixed price.</t>
        </is>
      </c>
    </row>
    <row r="13"/>
    <row r="14">
      <c r="A14" t="inlineStr">
        <is>
          <t>SWCC Hardware &amp; Construction</t>
        </is>
      </c>
      <c r="B14" t="inlineStr">
        <is>
          <t>Sand</t>
        </is>
      </c>
      <c r="C14" t="n">
        <v>12</v>
      </c>
      <c r="D14" t="inlineStr">
        <is>
          <t>cubic</t>
        </is>
      </c>
      <c r="E14" t="inlineStr">
        <is>
          <t>Loose / Per Cubic Rate</t>
        </is>
      </c>
      <c r="F14" t="n">
        <v>2000</v>
      </c>
      <c r="G14" t="n">
        <v>24000</v>
      </c>
      <c r="H14" t="inlineStr">
        <is>
          <t>Base price of material only. Delivery cost not included.</t>
        </is>
      </c>
    </row>
    <row r="15">
      <c r="A15" t="inlineStr">
        <is>
          <t>SWCC Hardware &amp; Construction</t>
        </is>
      </c>
      <c r="B15" t="inlineStr">
        <is>
          <t>Gravel</t>
        </is>
      </c>
      <c r="C15" t="n">
        <v>12</v>
      </c>
      <c r="D15" t="inlineStr">
        <is>
          <t>cubic</t>
        </is>
      </c>
      <c r="E15" t="inlineStr">
        <is>
          <t>Loose / Per Cubic Rate</t>
        </is>
      </c>
      <c r="F15" t="n">
        <v>2050</v>
      </c>
      <c r="G15" t="n">
        <v>24600</v>
      </c>
      <c r="H15" t="inlineStr">
        <is>
          <t>Base price of material only. Delivery cost not included.</t>
        </is>
      </c>
    </row>
    <row r="16">
      <c r="A16" t="inlineStr">
        <is>
          <t>SWCC Hardware &amp; Construction</t>
        </is>
      </c>
      <c r="B16" t="inlineStr">
        <is>
          <t>Sand</t>
        </is>
      </c>
      <c r="C16" t="n">
        <v>12</v>
      </c>
      <c r="D16" t="inlineStr">
        <is>
          <t>cubic</t>
        </is>
      </c>
      <c r="E16" t="inlineStr">
        <is>
          <t>Elf Truck (2.7m³ load - 5 trips)</t>
        </is>
      </c>
      <c r="F16" t="n">
        <v>3600</v>
      </c>
      <c r="G16" t="n">
        <v>43200</v>
      </c>
      <c r="H16" t="inlineStr">
        <is>
          <t>Total package quote given by supplier for 12m³ delivered via Elf.</t>
        </is>
      </c>
    </row>
    <row r="17">
      <c r="A17" t="inlineStr">
        <is>
          <t>SWCC Hardware &amp; Construction</t>
        </is>
      </c>
      <c r="B17" t="inlineStr">
        <is>
          <t>Gravel</t>
        </is>
      </c>
      <c r="C17" t="n">
        <v>12</v>
      </c>
      <c r="D17" t="inlineStr">
        <is>
          <t>cubic</t>
        </is>
      </c>
      <c r="E17" t="inlineStr">
        <is>
          <t>Elf Truck (2.7m³ load - 5 trips)</t>
        </is>
      </c>
      <c r="F17" t="n">
        <v>3690</v>
      </c>
      <c r="G17" t="n">
        <v>44280</v>
      </c>
      <c r="H17" t="inlineStr">
        <is>
          <t>Total package quote given by supplier for 12m³ delivered via Elf.</t>
        </is>
      </c>
    </row>
    <row r="18"/>
    <row r="19">
      <c r="A19" t="inlineStr">
        <is>
          <t>FAMOUS</t>
        </is>
      </c>
      <c r="B19" t="inlineStr">
        <is>
          <t>Sand</t>
        </is>
      </c>
      <c r="C19" t="n">
        <v>12</v>
      </c>
      <c r="D19" t="inlineStr">
        <is>
          <t>cubic</t>
        </is>
      </c>
      <c r="E19" t="inlineStr">
        <is>
          <t>3m³ Truck (Option A)</t>
        </is>
      </c>
      <c r="F19" t="n">
        <v>1000</v>
      </c>
      <c r="G19" t="n">
        <v>12000</v>
      </c>
      <c r="H19" t="inlineStr">
        <is>
          <t>Cheapest choice if the ₱3,000 quote is for the whole truck volume.</t>
        </is>
      </c>
    </row>
    <row r="20">
      <c r="A20" t="inlineStr">
        <is>
          <t>FAMOUS</t>
        </is>
      </c>
      <c r="B20" t="inlineStr">
        <is>
          <t>Gravel</t>
        </is>
      </c>
      <c r="C20" t="n">
        <v>12</v>
      </c>
      <c r="D20" t="inlineStr">
        <is>
          <t>cubic</t>
        </is>
      </c>
      <c r="E20" t="inlineStr">
        <is>
          <t>3m³ Truck (Option A)</t>
        </is>
      </c>
      <c r="F20" t="n">
        <v>1033.33</v>
      </c>
      <c r="G20" t="n">
        <v>12400</v>
      </c>
      <c r="H20" t="inlineStr">
        <is>
          <t>Cheapest choice if the ₱3,100 quote is for the whole truck volume.</t>
        </is>
      </c>
    </row>
    <row r="21">
      <c r="A21" t="inlineStr">
        <is>
          <t>FAMOUS</t>
        </is>
      </c>
      <c r="B21" t="inlineStr">
        <is>
          <t>Sand</t>
        </is>
      </c>
      <c r="C21" t="n">
        <v>12</v>
      </c>
      <c r="D21" t="inlineStr">
        <is>
          <t>cubic</t>
        </is>
      </c>
      <c r="E21" t="inlineStr">
        <is>
          <t>Per Cubic Rate (Option B)</t>
        </is>
      </c>
      <c r="F21" t="n">
        <v>3000</v>
      </c>
      <c r="G21" t="n">
        <v>36000</v>
      </c>
      <c r="H21" t="inlineStr">
        <is>
          <t>Very expensive if the ₱3,000 quote is only for 1 cubic meter.</t>
        </is>
      </c>
    </row>
    <row r="22">
      <c r="A22" t="inlineStr">
        <is>
          <t>FAMOUS</t>
        </is>
      </c>
      <c r="B22" t="inlineStr">
        <is>
          <t>Gravel</t>
        </is>
      </c>
      <c r="C22" t="n">
        <v>12</v>
      </c>
      <c r="D22" t="inlineStr">
        <is>
          <t>cubic</t>
        </is>
      </c>
      <c r="E22" t="inlineStr">
        <is>
          <t>Per Cubic Rate (Option B)</t>
        </is>
      </c>
      <c r="F22" t="n">
        <v>3100</v>
      </c>
      <c r="G22" t="n">
        <v>37200</v>
      </c>
      <c r="H22" t="inlineStr">
        <is>
          <t>Very expensive if the ₱3,100 quote is only for 1 cubic meter.</t>
        </is>
      </c>
    </row>
    <row r="23"/>
    <row r="24">
      <c r="A24" t="inlineStr">
        <is>
          <t>CHRIBAS</t>
        </is>
      </c>
      <c r="B24" t="inlineStr">
        <is>
          <t>Sand</t>
        </is>
      </c>
      <c r="C24" t="n">
        <v>12</v>
      </c>
      <c r="D24" t="inlineStr">
        <is>
          <t>cubic</t>
        </is>
      </c>
      <c r="E24" t="inlineStr">
        <is>
          <t>Large Truck (8.5-9m³ load)</t>
        </is>
      </c>
      <c r="F24" t="n">
        <v>2376.47</v>
      </c>
      <c r="G24" t="n">
        <v>40400</v>
      </c>
      <c r="H24" t="inlineStr">
        <is>
          <t>₱20,200 per truck. Must buy 2 trucks to reach 12m³. Fixed price layout.</t>
        </is>
      </c>
    </row>
    <row r="25">
      <c r="A25" t="inlineStr">
        <is>
          <t>CHRIBAS</t>
        </is>
      </c>
      <c r="B25" t="inlineStr">
        <is>
          <t>Gravel</t>
        </is>
      </c>
      <c r="C25" t="n">
        <v>12</v>
      </c>
      <c r="D25" t="inlineStr">
        <is>
          <t>cubic</t>
        </is>
      </c>
      <c r="E25" t="inlineStr">
        <is>
          <t>Large Truck (8.5-9m³ load)</t>
        </is>
      </c>
      <c r="F25" t="n">
        <v>2434.29</v>
      </c>
      <c r="G25" t="n">
        <v>42600</v>
      </c>
      <c r="H25" t="inlineStr">
        <is>
          <t>₱21,300 per truck. Must buy 2 trucks to reach 12m³. Fixed price layout.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2026-10-06T03:05:58Z</dcterms:created>
  <dcterms:modified xmlns:dcterms="http://purl.org/dc/terms/" xmlns:xsi="http://www.w3.org/2001/XMLSchema-instance" xsi:type="dcterms:W3CDTF">2026-10-06T03:05:58Z</dcterms:modified>
</cp:coreProperties>
</file>