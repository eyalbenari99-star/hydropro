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 — today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6" customWidth="1" min="4" max="4"/>
    <col width="7" customWidth="1" min="5" max="5"/>
    <col width="8" customWidth="1" min="6" max="6"/>
    <col width="6" customWidth="1" min="7" max="7"/>
    <col width="6" customWidth="1" min="8" max="8"/>
    <col width="6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10" customWidth="1" min="16" max="16"/>
    <col width="6" customWidth="1" min="17" max="17"/>
    <col width="7" customWidth="1" min="18" max="18"/>
    <col width="7" customWidth="1" min="19" max="19"/>
    <col width="26" customWidth="1" min="20" max="20"/>
    <col width="22" customWidth="1" min="21" max="21"/>
    <col width="6" customWidth="1" min="22" max="22"/>
    <col width="8" customWidth="1" min="23" max="23"/>
    <col width="6" customWidth="1" min="24" max="24"/>
    <col width="6" customWidth="1" min="25" max="25"/>
    <col width="6" customWidth="1" min="26" max="26"/>
    <col width="80" customWidth="1" min="27" max="27"/>
  </cols>
  <sheetData>
    <row r="1" ht="42" customHeight="1">
      <c r="A1" s="1" t="inlineStr">
        <is>
          <t>Pool</t>
        </is>
      </c>
      <c r="B1" s="1" t="inlineStr">
        <is>
          <t>GH</t>
        </is>
      </c>
      <c r="C1" s="1" t="inlineStr">
        <is>
          <t>L cm</t>
        </is>
      </c>
      <c r="D1" s="1" t="inlineStr">
        <is>
          <t>W cm</t>
        </is>
      </c>
      <c r="E1" s="1" t="inlineStr">
        <is>
          <t>Fill to cm</t>
        </is>
      </c>
      <c r="F1" s="1" t="inlineStr">
        <is>
          <t>Fill when</t>
        </is>
      </c>
      <c r="G1" s="1" t="inlineStr">
        <is>
          <t>Low cm</t>
        </is>
      </c>
      <c r="H1" s="1" t="inlineStr">
        <is>
          <t>cm per</t>
        </is>
      </c>
      <c r="I1" s="1" t="inlineStr">
        <is>
          <t>L per</t>
        </is>
      </c>
      <c r="J1" s="1" t="inlineStr">
        <is>
          <t>LEVEL cm</t>
        </is>
      </c>
      <c r="K1" s="1" t="inlineStr">
        <is>
          <t>EC meter 1</t>
        </is>
      </c>
      <c r="L1" s="1" t="inlineStr">
        <is>
          <t>EC meter 2</t>
        </is>
      </c>
      <c r="M1" s="1" t="inlineStr">
        <is>
          <t>pH meter 1</t>
        </is>
      </c>
      <c r="N1" s="1" t="inlineStr">
        <is>
          <t>pH meter 2</t>
        </is>
      </c>
      <c r="O1" s="1" t="inlineStr">
        <is>
          <t>Water °C</t>
        </is>
      </c>
      <c r="P1" s="1" t="inlineStr">
        <is>
          <t>Water source</t>
        </is>
      </c>
      <c r="Q1" s="1" t="inlineStr">
        <is>
          <t>Mix %</t>
        </is>
      </c>
      <c r="R1" s="1" t="inlineStr">
        <is>
          <t>EC used</t>
        </is>
      </c>
      <c r="S1" s="1" t="inlineStr">
        <is>
          <t>pH used</t>
        </is>
      </c>
      <c r="T1" s="1" t="inlineStr">
        <is>
          <t>Meters OK?</t>
        </is>
      </c>
      <c r="U1" s="1" t="inlineStr">
        <is>
          <t>Fill now?</t>
        </is>
      </c>
      <c r="V1" s="1" t="inlineStr">
        <is>
          <t>Gap cm</t>
        </is>
      </c>
      <c r="W1" s="1" t="inlineStr">
        <is>
          <t>Water (L)</t>
        </is>
      </c>
      <c r="X1" s="1" t="inlineStr">
        <is>
          <t>A (L)</t>
        </is>
      </c>
      <c r="Y1" s="1" t="inlineStr">
        <is>
          <t>B (L)</t>
        </is>
      </c>
      <c r="Z1" s="1" t="inlineStr">
        <is>
          <t>C (cc)</t>
        </is>
      </c>
      <c r="AA1" s="1" t="inlineStr">
        <is>
          <t>INSTRUCTION FOR REVEN</t>
        </is>
      </c>
    </row>
    <row r="2">
      <c r="A2" s="2" t="inlineStr">
        <is>
          <t>Pool 1</t>
        </is>
      </c>
      <c r="B2" s="2" t="inlineStr">
        <is>
          <t>GH1</t>
        </is>
      </c>
      <c r="C2" s="2" t="n">
        <v>238</v>
      </c>
      <c r="D2" s="2" t="n">
        <v>85</v>
      </c>
      <c r="E2" s="2" t="n">
        <v>60</v>
      </c>
      <c r="F2" s="2" t="inlineStr">
        <is>
          <t>morning</t>
        </is>
      </c>
      <c r="G2" s="2" t="n">
        <v>30</v>
      </c>
      <c r="H2" s="2" t="n">
        <v>10</v>
      </c>
      <c r="I2" s="2" t="n">
        <v>1</v>
      </c>
      <c r="J2" s="3" t="n"/>
      <c r="K2" s="3" t="n"/>
      <c r="L2" s="3" t="n"/>
      <c r="M2" s="3" t="n"/>
      <c r="N2" s="3" t="n"/>
      <c r="O2" s="3" t="n"/>
      <c r="P2" s="3" t="inlineStr">
        <is>
          <t>Pure</t>
        </is>
      </c>
      <c r="Q2" s="3" t="n">
        <v>0</v>
      </c>
      <c r="R2" s="4">
        <f>IF(AND(K2="",L2=""),"",IF(OR(K2="",L2=""),MAX(K2,L2),IF(ABS(K2-L2)&lt;=Settings!$B$7,ROUND(AVERAGE(K2,L2),2),"")))</f>
        <v/>
      </c>
      <c r="S2" s="4">
        <f>IF(AND(M2="",N2=""),"",IF(OR(M2="",N2=""),MAX(M2,N2),IF(ABS(M2-N2)&lt;=Settings!$B$8,ROUND(AVERAGE(M2,N2),2),"")))</f>
        <v/>
      </c>
      <c r="T2" s="4">
        <f>IF(AND(K2&lt;&gt;"",L2&lt;&gt;"",ABS(K2-L2)&gt;Settings!$B$7),"CALIBRATE EC meters (differ "&amp;ROUND(ABS(K2-L2),2)&amp;")",IF(AND(M2&lt;&gt;"",N2&lt;&gt;"",ABS(M2-N2)&gt;Settings!$B$8),"CALIBRATE pH meters (differ "&amp;ROUND(ABS(M2-N2),2)&amp;")","OK"))</f>
        <v/>
      </c>
      <c r="U2" s="4">
        <f>IF(J2="","",IF(J2&gt;=E2,"no — level ≥ "&amp;E2,IF(F2="morning",IF(OR(Settings!$B$2="08:00",J2&lt;G2),"yes","no — not morning and ≥ "&amp;G2&amp;" cm"),IF(F2="below",IF(J2&lt;G2,"yes","no — ≥ "&amp;G2&amp;" cm"),"yes"))))</f>
        <v/>
      </c>
      <c r="V2" s="4">
        <f>IF(U2="yes",MAX(0,ROUND(E2-J2,0)),0)</f>
        <v/>
      </c>
      <c r="W2" s="4">
        <f>IF(V2&gt;0,ROUND(C2*D2*V2/1000,0),0)</f>
        <v/>
      </c>
      <c r="X2" s="4">
        <f>IF(OR(T2&lt;&gt;"OK",V2&lt;=0),0,ROUND(V2/H2*I2,0))</f>
        <v/>
      </c>
      <c r="Y2" s="4">
        <f>X2</f>
        <v/>
      </c>
      <c r="Z2" s="4">
        <f>IF(OR(T2&lt;&gt;"OK",V2&lt;=0),0,ROUND(V2*Settings!$B$5*IF(S2="",1,MAX(0.5,MIN(2,1+(S2-Settings!$B$6)))),0))</f>
        <v/>
      </c>
      <c r="AA2" s="4">
        <f>IF(T2&lt;&gt;"OK","⚠ "&amp;T2&amp;" — re-measure, no dose until the two meters agree",IF(J2="","— no reading —",IF(U2&lt;&gt;"yes",U2&amp;" — add nothing"&amp;IF(AND(O2&lt;&gt;"",O2&gt;Settings!$B$9)," · ⚠ water hot ("&amp;O2&amp;" °C)",""),"Fill to "&amp;E2&amp;" cm: add "&amp;W2&amp;" L "&amp;LOWER(Q2)&amp;" water · A "&amp;X2&amp;" L · B "&amp;Y2&amp;" L"&amp;IF(Z2&gt;0," · C "&amp;Z2&amp;" cc","")&amp;IF(AND("P01"="P10",R2&lt;&gt;"",R2&lt;Settings!$B$3)," · EC "&amp;R2&amp;" &lt; 1.7: add 1 L more A and B after mixing, re-check, until ≈ 1.7","")&amp;IF(AND(O2&lt;&gt;"",O2&gt;Settings!$B$9)," · ⚠ water hot ("&amp;O2&amp;" °C)",""))))</f>
        <v/>
      </c>
    </row>
    <row r="3">
      <c r="A3" s="2" t="inlineStr">
        <is>
          <t>Pool 2</t>
        </is>
      </c>
      <c r="B3" s="2" t="inlineStr">
        <is>
          <t>GH2</t>
        </is>
      </c>
      <c r="C3" s="2" t="n">
        <v>238</v>
      </c>
      <c r="D3" s="2" t="n">
        <v>85</v>
      </c>
      <c r="E3" s="2" t="n">
        <v>60</v>
      </c>
      <c r="F3" s="2" t="inlineStr">
        <is>
          <t>morning</t>
        </is>
      </c>
      <c r="G3" s="2" t="n">
        <v>30</v>
      </c>
      <c r="H3" s="2" t="n">
        <v>10</v>
      </c>
      <c r="I3" s="2" t="n">
        <v>1</v>
      </c>
      <c r="J3" s="3" t="n"/>
      <c r="K3" s="3" t="n"/>
      <c r="L3" s="3" t="n"/>
      <c r="M3" s="3" t="n"/>
      <c r="N3" s="3" t="n"/>
      <c r="O3" s="3" t="n"/>
      <c r="P3" s="3" t="inlineStr">
        <is>
          <t>Pure</t>
        </is>
      </c>
      <c r="Q3" s="3" t="n">
        <v>0</v>
      </c>
      <c r="R3" s="4">
        <f>IF(AND(K3="",L3=""),"",IF(OR(K3="",L3=""),MAX(K3,L3),IF(ABS(K3-L3)&lt;=Settings!$B$7,ROUND(AVERAGE(K3,L3),2),"")))</f>
        <v/>
      </c>
      <c r="S3" s="4">
        <f>IF(AND(M3="",N3=""),"",IF(OR(M3="",N3=""),MAX(M3,N3),IF(ABS(M3-N3)&lt;=Settings!$B$8,ROUND(AVERAGE(M3,N3),2),"")))</f>
        <v/>
      </c>
      <c r="T3" s="4">
        <f>IF(AND(K3&lt;&gt;"",L3&lt;&gt;"",ABS(K3-L3)&gt;Settings!$B$7),"CALIBRATE EC meters (differ "&amp;ROUND(ABS(K3-L3),2)&amp;")",IF(AND(M3&lt;&gt;"",N3&lt;&gt;"",ABS(M3-N3)&gt;Settings!$B$8),"CALIBRATE pH meters (differ "&amp;ROUND(ABS(M3-N3),2)&amp;")","OK"))</f>
        <v/>
      </c>
      <c r="U3" s="4">
        <f>IF(J3="","",IF(J3&gt;=E3,"no — level ≥ "&amp;E3,IF(F3="morning",IF(OR(Settings!$B$2="08:00",J3&lt;G3),"yes","no — not morning and ≥ "&amp;G3&amp;" cm"),IF(F3="below",IF(J3&lt;G3,"yes","no — ≥ "&amp;G3&amp;" cm"),"yes"))))</f>
        <v/>
      </c>
      <c r="V3" s="4">
        <f>IF(U3="yes",MAX(0,ROUND(E3-J3,0)),0)</f>
        <v/>
      </c>
      <c r="W3" s="4">
        <f>IF(V3&gt;0,ROUND(C3*D3*V3/1000,0),0)</f>
        <v/>
      </c>
      <c r="X3" s="4">
        <f>IF(OR(T3&lt;&gt;"OK",V3&lt;=0),0,ROUND(V3/H3*I3,0))</f>
        <v/>
      </c>
      <c r="Y3" s="4">
        <f>X3</f>
        <v/>
      </c>
      <c r="Z3" s="4">
        <f>IF(OR(T3&lt;&gt;"OK",V3&lt;=0),0,ROUND(V3*Settings!$B$5*IF(S3="",1,MAX(0.5,MIN(2,1+(S3-Settings!$B$6)))),0))</f>
        <v/>
      </c>
      <c r="AA3" s="4">
        <f>IF(T3&lt;&gt;"OK","⚠ "&amp;T3&amp;" — re-measure, no dose until the two meters agree",IF(J3="","— no reading —",IF(U3&lt;&gt;"yes",U3&amp;" — add nothing"&amp;IF(AND(O3&lt;&gt;"",O3&gt;Settings!$B$9)," · ⚠ water hot ("&amp;O3&amp;" °C)",""),"Fill to "&amp;E3&amp;" cm: add "&amp;W3&amp;" L "&amp;LOWER(Q3)&amp;" water · A "&amp;X3&amp;" L · B "&amp;Y3&amp;" L"&amp;IF(Z3&gt;0," · C "&amp;Z3&amp;" cc","")&amp;IF(AND("P02"="P10",R3&lt;&gt;"",R3&lt;Settings!$B$3)," · EC "&amp;R3&amp;" &lt; 1.7: add 1 L more A and B after mixing, re-check, until ≈ 1.7","")&amp;IF(AND(O3&lt;&gt;"",O3&gt;Settings!$B$9)," · ⚠ water hot ("&amp;O3&amp;" °C)",""))))</f>
        <v/>
      </c>
    </row>
    <row r="4">
      <c r="A4" s="2" t="inlineStr">
        <is>
          <t>Pool 3</t>
        </is>
      </c>
      <c r="B4" s="2" t="inlineStr">
        <is>
          <t>GH3</t>
        </is>
      </c>
      <c r="C4" s="2" t="n">
        <v>197</v>
      </c>
      <c r="D4" s="2" t="n">
        <v>115</v>
      </c>
      <c r="E4" s="2" t="n">
        <v>60</v>
      </c>
      <c r="F4" s="2" t="inlineStr">
        <is>
          <t>morning</t>
        </is>
      </c>
      <c r="G4" s="2" t="n">
        <v>30</v>
      </c>
      <c r="H4" s="2" t="n">
        <v>10</v>
      </c>
      <c r="I4" s="2" t="n">
        <v>1</v>
      </c>
      <c r="J4" s="3" t="n"/>
      <c r="K4" s="3" t="n"/>
      <c r="L4" s="3" t="n"/>
      <c r="M4" s="3" t="n"/>
      <c r="N4" s="3" t="n"/>
      <c r="O4" s="3" t="n"/>
      <c r="P4" s="3" t="inlineStr">
        <is>
          <t>Pure</t>
        </is>
      </c>
      <c r="Q4" s="3" t="n">
        <v>0</v>
      </c>
      <c r="R4" s="4">
        <f>IF(AND(K4="",L4=""),"",IF(OR(K4="",L4=""),MAX(K4,L4),IF(ABS(K4-L4)&lt;=Settings!$B$7,ROUND(AVERAGE(K4,L4),2),"")))</f>
        <v/>
      </c>
      <c r="S4" s="4">
        <f>IF(AND(M4="",N4=""),"",IF(OR(M4="",N4=""),MAX(M4,N4),IF(ABS(M4-N4)&lt;=Settings!$B$8,ROUND(AVERAGE(M4,N4),2),"")))</f>
        <v/>
      </c>
      <c r="T4" s="4">
        <f>IF(AND(K4&lt;&gt;"",L4&lt;&gt;"",ABS(K4-L4)&gt;Settings!$B$7),"CALIBRATE EC meters (differ "&amp;ROUND(ABS(K4-L4),2)&amp;")",IF(AND(M4&lt;&gt;"",N4&lt;&gt;"",ABS(M4-N4)&gt;Settings!$B$8),"CALIBRATE pH meters (differ "&amp;ROUND(ABS(M4-N4),2)&amp;")","OK"))</f>
        <v/>
      </c>
      <c r="U4" s="4">
        <f>IF(J4="","",IF(J4&gt;=E4,"no — level ≥ "&amp;E4,IF(F4="morning",IF(OR(Settings!$B$2="08:00",J4&lt;G4),"yes","no — not morning and ≥ "&amp;G4&amp;" cm"),IF(F4="below",IF(J4&lt;G4,"yes","no — ≥ "&amp;G4&amp;" cm"),"yes"))))</f>
        <v/>
      </c>
      <c r="V4" s="4">
        <f>IF(U4="yes",MAX(0,ROUND(E4-J4,0)),0)</f>
        <v/>
      </c>
      <c r="W4" s="4">
        <f>IF(V4&gt;0,ROUND(C4*D4*V4/1000,0),0)</f>
        <v/>
      </c>
      <c r="X4" s="4">
        <f>IF(OR(T4&lt;&gt;"OK",V4&lt;=0),0,ROUND(V4/H4*I4,0))</f>
        <v/>
      </c>
      <c r="Y4" s="4">
        <f>X4</f>
        <v/>
      </c>
      <c r="Z4" s="4">
        <f>IF(OR(T4&lt;&gt;"OK",V4&lt;=0),0,ROUND(V4*Settings!$B$5*IF(S4="",1,MAX(0.5,MIN(2,1+(S4-Settings!$B$6)))),0))</f>
        <v/>
      </c>
      <c r="AA4" s="4">
        <f>IF(T4&lt;&gt;"OK","⚠ "&amp;T4&amp;" — re-measure, no dose until the two meters agree",IF(J4="","— no reading —",IF(U4&lt;&gt;"yes",U4&amp;" — add nothing"&amp;IF(AND(O4&lt;&gt;"",O4&gt;Settings!$B$9)," · ⚠ water hot ("&amp;O4&amp;" °C)",""),"Fill to "&amp;E4&amp;" cm: add "&amp;W4&amp;" L "&amp;LOWER(Q4)&amp;" water · A "&amp;X4&amp;" L · B "&amp;Y4&amp;" L"&amp;IF(Z4&gt;0," · C "&amp;Z4&amp;" cc","")&amp;IF(AND("P03"="P10",R4&lt;&gt;"",R4&lt;Settings!$B$3)," · EC "&amp;R4&amp;" &lt; 1.7: add 1 L more A and B after mixing, re-check, until ≈ 1.7","")&amp;IF(AND(O4&lt;&gt;"",O4&gt;Settings!$B$9)," · ⚠ water hot ("&amp;O4&amp;" °C)",""))))</f>
        <v/>
      </c>
    </row>
    <row r="5">
      <c r="A5" s="2" t="inlineStr">
        <is>
          <t>Pool 4</t>
        </is>
      </c>
      <c r="B5" s="2" t="inlineStr">
        <is>
          <t>GH4</t>
        </is>
      </c>
      <c r="C5" s="2" t="n">
        <v>197</v>
      </c>
      <c r="D5" s="2" t="n">
        <v>115</v>
      </c>
      <c r="E5" s="2" t="n">
        <v>60</v>
      </c>
      <c r="F5" s="2" t="inlineStr">
        <is>
          <t>morning</t>
        </is>
      </c>
      <c r="G5" s="2" t="n">
        <v>30</v>
      </c>
      <c r="H5" s="2" t="n">
        <v>10</v>
      </c>
      <c r="I5" s="2" t="n">
        <v>1</v>
      </c>
      <c r="J5" s="3" t="n"/>
      <c r="K5" s="3" t="n"/>
      <c r="L5" s="3" t="n"/>
      <c r="M5" s="3" t="n"/>
      <c r="N5" s="3" t="n"/>
      <c r="O5" s="3" t="n"/>
      <c r="P5" s="3" t="inlineStr">
        <is>
          <t>Pure</t>
        </is>
      </c>
      <c r="Q5" s="3" t="n">
        <v>0</v>
      </c>
      <c r="R5" s="4">
        <f>IF(AND(K5="",L5=""),"",IF(OR(K5="",L5=""),MAX(K5,L5),IF(ABS(K5-L5)&lt;=Settings!$B$7,ROUND(AVERAGE(K5,L5),2),"")))</f>
        <v/>
      </c>
      <c r="S5" s="4">
        <f>IF(AND(M5="",N5=""),"",IF(OR(M5="",N5=""),MAX(M5,N5),IF(ABS(M5-N5)&lt;=Settings!$B$8,ROUND(AVERAGE(M5,N5),2),"")))</f>
        <v/>
      </c>
      <c r="T5" s="4">
        <f>IF(AND(K5&lt;&gt;"",L5&lt;&gt;"",ABS(K5-L5)&gt;Settings!$B$7),"CALIBRATE EC meters (differ "&amp;ROUND(ABS(K5-L5),2)&amp;")",IF(AND(M5&lt;&gt;"",N5&lt;&gt;"",ABS(M5-N5)&gt;Settings!$B$8),"CALIBRATE pH meters (differ "&amp;ROUND(ABS(M5-N5),2)&amp;")","OK"))</f>
        <v/>
      </c>
      <c r="U5" s="4">
        <f>IF(J5="","",IF(J5&gt;=E5,"no — level ≥ "&amp;E5,IF(F5="morning",IF(OR(Settings!$B$2="08:00",J5&lt;G5),"yes","no — not morning and ≥ "&amp;G5&amp;" cm"),IF(F5="below",IF(J5&lt;G5,"yes","no — ≥ "&amp;G5&amp;" cm"),"yes"))))</f>
        <v/>
      </c>
      <c r="V5" s="4">
        <f>IF(U5="yes",MAX(0,ROUND(E5-J5,0)),0)</f>
        <v/>
      </c>
      <c r="W5" s="4">
        <f>IF(V5&gt;0,ROUND(C5*D5*V5/1000,0),0)</f>
        <v/>
      </c>
      <c r="X5" s="4">
        <f>IF(OR(T5&lt;&gt;"OK",V5&lt;=0),0,ROUND(V5/H5*I5,0))</f>
        <v/>
      </c>
      <c r="Y5" s="4">
        <f>X5</f>
        <v/>
      </c>
      <c r="Z5" s="4">
        <f>IF(OR(T5&lt;&gt;"OK",V5&lt;=0),0,ROUND(V5*Settings!$B$5*IF(S5="",1,MAX(0.5,MIN(2,1+(S5-Settings!$B$6)))),0))</f>
        <v/>
      </c>
      <c r="AA5" s="4">
        <f>IF(T5&lt;&gt;"OK","⚠ "&amp;T5&amp;" — re-measure, no dose until the two meters agree",IF(J5="","— no reading —",IF(U5&lt;&gt;"yes",U5&amp;" — add nothing"&amp;IF(AND(O5&lt;&gt;"",O5&gt;Settings!$B$9)," · ⚠ water hot ("&amp;O5&amp;" °C)",""),"Fill to "&amp;E5&amp;" cm: add "&amp;W5&amp;" L "&amp;LOWER(Q5)&amp;" water · A "&amp;X5&amp;" L · B "&amp;Y5&amp;" L"&amp;IF(Z5&gt;0," · C "&amp;Z5&amp;" cc","")&amp;IF(AND("P04"="P10",R5&lt;&gt;"",R5&lt;Settings!$B$3)," · EC "&amp;R5&amp;" &lt; 1.7: add 1 L more A and B after mixing, re-check, until ≈ 1.7","")&amp;IF(AND(O5&lt;&gt;"",O5&gt;Settings!$B$9)," · ⚠ water hot ("&amp;O5&amp;" °C)",""))))</f>
        <v/>
      </c>
    </row>
    <row r="6">
      <c r="A6" s="2" t="inlineStr">
        <is>
          <t>Pool 5</t>
        </is>
      </c>
      <c r="B6" s="2" t="inlineStr">
        <is>
          <t>GH5</t>
        </is>
      </c>
      <c r="C6" s="2" t="n">
        <v>198</v>
      </c>
      <c r="D6" s="2" t="n">
        <v>120</v>
      </c>
      <c r="E6" s="2" t="n">
        <v>60</v>
      </c>
      <c r="F6" s="2" t="inlineStr">
        <is>
          <t>morning</t>
        </is>
      </c>
      <c r="G6" s="2" t="n">
        <v>30</v>
      </c>
      <c r="H6" s="2" t="n">
        <v>10</v>
      </c>
      <c r="I6" s="2" t="n">
        <v>1</v>
      </c>
      <c r="J6" s="3" t="n"/>
      <c r="K6" s="3" t="n"/>
      <c r="L6" s="3" t="n"/>
      <c r="M6" s="3" t="n"/>
      <c r="N6" s="3" t="n"/>
      <c r="O6" s="3" t="n"/>
      <c r="P6" s="3" t="inlineStr">
        <is>
          <t>Pure</t>
        </is>
      </c>
      <c r="Q6" s="3" t="n">
        <v>0</v>
      </c>
      <c r="R6" s="4">
        <f>IF(AND(K6="",L6=""),"",IF(OR(K6="",L6=""),MAX(K6,L6),IF(ABS(K6-L6)&lt;=Settings!$B$7,ROUND(AVERAGE(K6,L6),2),"")))</f>
        <v/>
      </c>
      <c r="S6" s="4">
        <f>IF(AND(M6="",N6=""),"",IF(OR(M6="",N6=""),MAX(M6,N6),IF(ABS(M6-N6)&lt;=Settings!$B$8,ROUND(AVERAGE(M6,N6),2),"")))</f>
        <v/>
      </c>
      <c r="T6" s="4">
        <f>IF(AND(K6&lt;&gt;"",L6&lt;&gt;"",ABS(K6-L6)&gt;Settings!$B$7),"CALIBRATE EC meters (differ "&amp;ROUND(ABS(K6-L6),2)&amp;")",IF(AND(M6&lt;&gt;"",N6&lt;&gt;"",ABS(M6-N6)&gt;Settings!$B$8),"CALIBRATE pH meters (differ "&amp;ROUND(ABS(M6-N6),2)&amp;")","OK"))</f>
        <v/>
      </c>
      <c r="U6" s="4">
        <f>IF(J6="","",IF(J6&gt;=E6,"no — level ≥ "&amp;E6,IF(F6="morning",IF(OR(Settings!$B$2="08:00",J6&lt;G6),"yes","no — not morning and ≥ "&amp;G6&amp;" cm"),IF(F6="below",IF(J6&lt;G6,"yes","no — ≥ "&amp;G6&amp;" cm"),"yes"))))</f>
        <v/>
      </c>
      <c r="V6" s="4">
        <f>IF(U6="yes",MAX(0,ROUND(E6-J6,0)),0)</f>
        <v/>
      </c>
      <c r="W6" s="4">
        <f>IF(V6&gt;0,ROUND(C6*D6*V6/1000,0),0)</f>
        <v/>
      </c>
      <c r="X6" s="4">
        <f>IF(OR(T6&lt;&gt;"OK",V6&lt;=0),0,ROUND(V6/H6*I6,0))</f>
        <v/>
      </c>
      <c r="Y6" s="4">
        <f>X6</f>
        <v/>
      </c>
      <c r="Z6" s="4">
        <f>IF(OR(T6&lt;&gt;"OK",V6&lt;=0),0,ROUND(V6*Settings!$B$5*IF(S6="",1,MAX(0.5,MIN(2,1+(S6-Settings!$B$6)))),0))</f>
        <v/>
      </c>
      <c r="AA6" s="4">
        <f>IF(T6&lt;&gt;"OK","⚠ "&amp;T6&amp;" — re-measure, no dose until the two meters agree",IF(J6="","— no reading —",IF(U6&lt;&gt;"yes",U6&amp;" — add nothing"&amp;IF(AND(O6&lt;&gt;"",O6&gt;Settings!$B$9)," · ⚠ water hot ("&amp;O6&amp;" °C)",""),"Fill to "&amp;E6&amp;" cm: add "&amp;W6&amp;" L "&amp;LOWER(Q6)&amp;" water · A "&amp;X6&amp;" L · B "&amp;Y6&amp;" L"&amp;IF(Z6&gt;0," · C "&amp;Z6&amp;" cc","")&amp;IF(AND("P05"="P10",R6&lt;&gt;"",R6&lt;Settings!$B$3)," · EC "&amp;R6&amp;" &lt; 1.7: add 1 L more A and B after mixing, re-check, until ≈ 1.7","")&amp;IF(AND(O6&lt;&gt;"",O6&gt;Settings!$B$9)," · ⚠ water hot ("&amp;O6&amp;" °C)",""))))</f>
        <v/>
      </c>
    </row>
    <row r="7">
      <c r="A7" s="2" t="inlineStr">
        <is>
          <t>Pool 6</t>
        </is>
      </c>
      <c r="B7" s="2" t="inlineStr">
        <is>
          <t>GH6</t>
        </is>
      </c>
      <c r="C7" s="2" t="n">
        <v>275</v>
      </c>
      <c r="D7" s="2" t="n">
        <v>102</v>
      </c>
      <c r="E7" s="2" t="n">
        <v>60</v>
      </c>
      <c r="F7" s="2" t="inlineStr">
        <is>
          <t>morning</t>
        </is>
      </c>
      <c r="G7" s="2" t="n">
        <v>30</v>
      </c>
      <c r="H7" s="2" t="n">
        <v>10</v>
      </c>
      <c r="I7" s="2" t="n">
        <v>1</v>
      </c>
      <c r="J7" s="3" t="n"/>
      <c r="K7" s="3" t="n"/>
      <c r="L7" s="3" t="n"/>
      <c r="M7" s="3" t="n"/>
      <c r="N7" s="3" t="n"/>
      <c r="O7" s="3" t="n"/>
      <c r="P7" s="3" t="inlineStr">
        <is>
          <t>Pure</t>
        </is>
      </c>
      <c r="Q7" s="3" t="n">
        <v>0</v>
      </c>
      <c r="R7" s="4">
        <f>IF(AND(K7="",L7=""),"",IF(OR(K7="",L7=""),MAX(K7,L7),IF(ABS(K7-L7)&lt;=Settings!$B$7,ROUND(AVERAGE(K7,L7),2),"")))</f>
        <v/>
      </c>
      <c r="S7" s="4">
        <f>IF(AND(M7="",N7=""),"",IF(OR(M7="",N7=""),MAX(M7,N7),IF(ABS(M7-N7)&lt;=Settings!$B$8,ROUND(AVERAGE(M7,N7),2),"")))</f>
        <v/>
      </c>
      <c r="T7" s="4">
        <f>IF(AND(K7&lt;&gt;"",L7&lt;&gt;"",ABS(K7-L7)&gt;Settings!$B$7),"CALIBRATE EC meters (differ "&amp;ROUND(ABS(K7-L7),2)&amp;")",IF(AND(M7&lt;&gt;"",N7&lt;&gt;"",ABS(M7-N7)&gt;Settings!$B$8),"CALIBRATE pH meters (differ "&amp;ROUND(ABS(M7-N7),2)&amp;")","OK"))</f>
        <v/>
      </c>
      <c r="U7" s="4">
        <f>IF(J7="","",IF(J7&gt;=E7,"no — level ≥ "&amp;E7,IF(F7="morning",IF(OR(Settings!$B$2="08:00",J7&lt;G7),"yes","no — not morning and ≥ "&amp;G7&amp;" cm"),IF(F7="below",IF(J7&lt;G7,"yes","no — ≥ "&amp;G7&amp;" cm"),"yes"))))</f>
        <v/>
      </c>
      <c r="V7" s="4">
        <f>IF(U7="yes",MAX(0,ROUND(E7-J7,0)),0)</f>
        <v/>
      </c>
      <c r="W7" s="4">
        <f>IF(V7&gt;0,ROUND(C7*D7*V7/1000,0),0)</f>
        <v/>
      </c>
      <c r="X7" s="4">
        <f>IF(OR(T7&lt;&gt;"OK",V7&lt;=0),0,ROUND(V7/H7*I7,0))</f>
        <v/>
      </c>
      <c r="Y7" s="4">
        <f>X7</f>
        <v/>
      </c>
      <c r="Z7" s="4">
        <f>IF(OR(T7&lt;&gt;"OK",V7&lt;=0),0,ROUND(V7*Settings!$B$5*IF(S7="",1,MAX(0.5,MIN(2,1+(S7-Settings!$B$6)))),0))</f>
        <v/>
      </c>
      <c r="AA7" s="4">
        <f>IF(T7&lt;&gt;"OK","⚠ "&amp;T7&amp;" — re-measure, no dose until the two meters agree",IF(J7="","— no reading —",IF(U7&lt;&gt;"yes",U7&amp;" — add nothing"&amp;IF(AND(O7&lt;&gt;"",O7&gt;Settings!$B$9)," · ⚠ water hot ("&amp;O7&amp;" °C)",""),"Fill to "&amp;E7&amp;" cm: add "&amp;W7&amp;" L "&amp;LOWER(Q7)&amp;" water · A "&amp;X7&amp;" L · B "&amp;Y7&amp;" L"&amp;IF(Z7&gt;0," · C "&amp;Z7&amp;" cc","")&amp;IF(AND("P06"="P10",R7&lt;&gt;"",R7&lt;Settings!$B$3)," · EC "&amp;R7&amp;" &lt; 1.7: add 1 L more A and B after mixing, re-check, until ≈ 1.7","")&amp;IF(AND(O7&lt;&gt;"",O7&gt;Settings!$B$9)," · ⚠ water hot ("&amp;O7&amp;" °C)",""))))</f>
        <v/>
      </c>
    </row>
    <row r="8">
      <c r="A8" s="2" t="inlineStr">
        <is>
          <t>Pool 7</t>
        </is>
      </c>
      <c r="B8" s="2" t="inlineStr">
        <is>
          <t>GH7</t>
        </is>
      </c>
      <c r="C8" s="2" t="n">
        <v>150</v>
      </c>
      <c r="D8" s="2" t="n">
        <v>143</v>
      </c>
      <c r="E8" s="2" t="n">
        <v>100</v>
      </c>
      <c r="F8" s="2" t="inlineStr">
        <is>
          <t>below</t>
        </is>
      </c>
      <c r="G8" s="2" t="n">
        <v>50</v>
      </c>
      <c r="H8" s="2" t="n">
        <v>12</v>
      </c>
      <c r="I8" s="2" t="n">
        <v>1</v>
      </c>
      <c r="J8" s="3" t="n"/>
      <c r="K8" s="3" t="n"/>
      <c r="L8" s="3" t="n"/>
      <c r="M8" s="3" t="n"/>
      <c r="N8" s="3" t="n"/>
      <c r="O8" s="3" t="n"/>
      <c r="P8" s="3" t="inlineStr">
        <is>
          <t>Pure</t>
        </is>
      </c>
      <c r="Q8" s="3" t="n">
        <v>0</v>
      </c>
      <c r="R8" s="4">
        <f>IF(AND(K8="",L8=""),"",IF(OR(K8="",L8=""),MAX(K8,L8),IF(ABS(K8-L8)&lt;=Settings!$B$7,ROUND(AVERAGE(K8,L8),2),"")))</f>
        <v/>
      </c>
      <c r="S8" s="4">
        <f>IF(AND(M8="",N8=""),"",IF(OR(M8="",N8=""),MAX(M8,N8),IF(ABS(M8-N8)&lt;=Settings!$B$8,ROUND(AVERAGE(M8,N8),2),"")))</f>
        <v/>
      </c>
      <c r="T8" s="4">
        <f>IF(AND(K8&lt;&gt;"",L8&lt;&gt;"",ABS(K8-L8)&gt;Settings!$B$7),"CALIBRATE EC meters (differ "&amp;ROUND(ABS(K8-L8),2)&amp;")",IF(AND(M8&lt;&gt;"",N8&lt;&gt;"",ABS(M8-N8)&gt;Settings!$B$8),"CALIBRATE pH meters (differ "&amp;ROUND(ABS(M8-N8),2)&amp;")","OK"))</f>
        <v/>
      </c>
      <c r="U8" s="4">
        <f>IF(J8="","",IF(J8&gt;=E8,"no — level ≥ "&amp;E8,IF(F8="morning",IF(OR(Settings!$B$2="08:00",J8&lt;G8),"yes","no — not morning and ≥ "&amp;G8&amp;" cm"),IF(F8="below",IF(J8&lt;G8,"yes","no — ≥ "&amp;G8&amp;" cm"),"yes"))))</f>
        <v/>
      </c>
      <c r="V8" s="4">
        <f>IF(U8="yes",MAX(0,ROUND(E8-J8,0)),0)</f>
        <v/>
      </c>
      <c r="W8" s="4">
        <f>IF(V8&gt;0,ROUND(C8*D8*V8/1000,0),0)</f>
        <v/>
      </c>
      <c r="X8" s="4">
        <f>IF(OR(T8&lt;&gt;"OK",V8&lt;=0),0,ROUND(V8/H8*I8,0))</f>
        <v/>
      </c>
      <c r="Y8" s="4">
        <f>X8</f>
        <v/>
      </c>
      <c r="Z8" s="4">
        <f>IF(OR(T8&lt;&gt;"OK",V8&lt;=0),0,ROUND(V8*Settings!$B$5*IF(S8="",1,MAX(0.5,MIN(2,1+(S8-Settings!$B$6)))),0))</f>
        <v/>
      </c>
      <c r="AA8" s="4">
        <f>IF(T8&lt;&gt;"OK","⚠ "&amp;T8&amp;" — re-measure, no dose until the two meters agree",IF(J8="","— no reading —",IF(U8&lt;&gt;"yes",U8&amp;" — add nothing"&amp;IF(AND(O8&lt;&gt;"",O8&gt;Settings!$B$9)," · ⚠ water hot ("&amp;O8&amp;" °C)",""),"Fill to "&amp;E8&amp;" cm: add "&amp;W8&amp;" L "&amp;LOWER(Q8)&amp;" water · A "&amp;X8&amp;" L · B "&amp;Y8&amp;" L"&amp;IF(Z8&gt;0," · C "&amp;Z8&amp;" cc","")&amp;IF(AND("P07"="P10",R8&lt;&gt;"",R8&lt;Settings!$B$3)," · EC "&amp;R8&amp;" &lt; 1.7: add 1 L more A and B after mixing, re-check, until ≈ 1.7","")&amp;IF(AND(O8&lt;&gt;"",O8&gt;Settings!$B$9)," · ⚠ water hot ("&amp;O8&amp;" °C)",""))))</f>
        <v/>
      </c>
    </row>
    <row r="9">
      <c r="A9" s="2" t="inlineStr">
        <is>
          <t>Pool 8</t>
        </is>
      </c>
      <c r="B9" s="2" t="inlineStr">
        <is>
          <t>GH8</t>
        </is>
      </c>
      <c r="C9" s="2" t="n">
        <v>150</v>
      </c>
      <c r="D9" s="2" t="n">
        <v>143</v>
      </c>
      <c r="E9" s="2" t="n">
        <v>100</v>
      </c>
      <c r="F9" s="2" t="inlineStr">
        <is>
          <t>below</t>
        </is>
      </c>
      <c r="G9" s="2" t="n">
        <v>50</v>
      </c>
      <c r="H9" s="2" t="n">
        <v>12</v>
      </c>
      <c r="I9" s="2" t="n">
        <v>1</v>
      </c>
      <c r="J9" s="3" t="n"/>
      <c r="K9" s="3" t="n"/>
      <c r="L9" s="3" t="n"/>
      <c r="M9" s="3" t="n"/>
      <c r="N9" s="3" t="n"/>
      <c r="O9" s="3" t="n"/>
      <c r="P9" s="3" t="inlineStr">
        <is>
          <t>Pure</t>
        </is>
      </c>
      <c r="Q9" s="3" t="n">
        <v>0</v>
      </c>
      <c r="R9" s="4">
        <f>IF(AND(K9="",L9=""),"",IF(OR(K9="",L9=""),MAX(K9,L9),IF(ABS(K9-L9)&lt;=Settings!$B$7,ROUND(AVERAGE(K9,L9),2),"")))</f>
        <v/>
      </c>
      <c r="S9" s="4">
        <f>IF(AND(M9="",N9=""),"",IF(OR(M9="",N9=""),MAX(M9,N9),IF(ABS(M9-N9)&lt;=Settings!$B$8,ROUND(AVERAGE(M9,N9),2),"")))</f>
        <v/>
      </c>
      <c r="T9" s="4">
        <f>IF(AND(K9&lt;&gt;"",L9&lt;&gt;"",ABS(K9-L9)&gt;Settings!$B$7),"CALIBRATE EC meters (differ "&amp;ROUND(ABS(K9-L9),2)&amp;")",IF(AND(M9&lt;&gt;"",N9&lt;&gt;"",ABS(M9-N9)&gt;Settings!$B$8),"CALIBRATE pH meters (differ "&amp;ROUND(ABS(M9-N9),2)&amp;")","OK"))</f>
        <v/>
      </c>
      <c r="U9" s="4">
        <f>IF(J9="","",IF(J9&gt;=E9,"no — level ≥ "&amp;E9,IF(F9="morning",IF(OR(Settings!$B$2="08:00",J9&lt;G9),"yes","no — not morning and ≥ "&amp;G9&amp;" cm"),IF(F9="below",IF(J9&lt;G9,"yes","no — ≥ "&amp;G9&amp;" cm"),"yes"))))</f>
        <v/>
      </c>
      <c r="V9" s="4">
        <f>IF(U9="yes",MAX(0,ROUND(E9-J9,0)),0)</f>
        <v/>
      </c>
      <c r="W9" s="4">
        <f>IF(V9&gt;0,ROUND(C9*D9*V9/1000,0),0)</f>
        <v/>
      </c>
      <c r="X9" s="4">
        <f>IF(OR(T9&lt;&gt;"OK",V9&lt;=0),0,ROUND(V9/H9*I9,0))</f>
        <v/>
      </c>
      <c r="Y9" s="4">
        <f>X9</f>
        <v/>
      </c>
      <c r="Z9" s="4">
        <f>IF(OR(T9&lt;&gt;"OK",V9&lt;=0),0,ROUND(V9*Settings!$B$5*IF(S9="",1,MAX(0.5,MIN(2,1+(S9-Settings!$B$6)))),0))</f>
        <v/>
      </c>
      <c r="AA9" s="4">
        <f>IF(T9&lt;&gt;"OK","⚠ "&amp;T9&amp;" — re-measure, no dose until the two meters agree",IF(J9="","— no reading —",IF(U9&lt;&gt;"yes",U9&amp;" — add nothing"&amp;IF(AND(O9&lt;&gt;"",O9&gt;Settings!$B$9)," · ⚠ water hot ("&amp;O9&amp;" °C)",""),"Fill to "&amp;E9&amp;" cm: add "&amp;W9&amp;" L "&amp;LOWER(Q9)&amp;" water · A "&amp;X9&amp;" L · B "&amp;Y9&amp;" L"&amp;IF(Z9&gt;0," · C "&amp;Z9&amp;" cc","")&amp;IF(AND("P08"="P10",R9&lt;&gt;"",R9&lt;Settings!$B$3)," · EC "&amp;R9&amp;" &lt; 1.7: add 1 L more A and B after mixing, re-check, until ≈ 1.7","")&amp;IF(AND(O9&lt;&gt;"",O9&gt;Settings!$B$9)," · ⚠ water hot ("&amp;O9&amp;" °C)",""))))</f>
        <v/>
      </c>
    </row>
    <row r="10">
      <c r="A10" s="2" t="inlineStr">
        <is>
          <t>Pool 9</t>
        </is>
      </c>
      <c r="B10" s="2" t="inlineStr">
        <is>
          <t>GH9</t>
        </is>
      </c>
      <c r="C10" s="2" t="n">
        <v>236</v>
      </c>
      <c r="D10" s="2" t="n">
        <v>142</v>
      </c>
      <c r="E10" s="2" t="n">
        <v>50</v>
      </c>
      <c r="F10" s="2" t="inlineStr">
        <is>
          <t>always</t>
        </is>
      </c>
      <c r="G10" s="2" t="inlineStr"/>
      <c r="H10" s="2" t="n">
        <v>10</v>
      </c>
      <c r="I10" s="2" t="n">
        <v>2</v>
      </c>
      <c r="J10" s="3" t="n"/>
      <c r="K10" s="3" t="n"/>
      <c r="L10" s="3" t="n"/>
      <c r="M10" s="3" t="n"/>
      <c r="N10" s="3" t="n"/>
      <c r="O10" s="3" t="n"/>
      <c r="P10" s="3" t="inlineStr">
        <is>
          <t>Pure</t>
        </is>
      </c>
      <c r="Q10" s="3" t="n">
        <v>0</v>
      </c>
      <c r="R10" s="4">
        <f>IF(AND(K10="",L10=""),"",IF(OR(K10="",L10=""),MAX(K10,L10),IF(ABS(K10-L10)&lt;=Settings!$B$7,ROUND(AVERAGE(K10,L10),2),"")))</f>
        <v/>
      </c>
      <c r="S10" s="4">
        <f>IF(AND(M10="",N10=""),"",IF(OR(M10="",N10=""),MAX(M10,N10),IF(ABS(M10-N10)&lt;=Settings!$B$8,ROUND(AVERAGE(M10,N10),2),"")))</f>
        <v/>
      </c>
      <c r="T10" s="4">
        <f>IF(AND(K10&lt;&gt;"",L10&lt;&gt;"",ABS(K10-L10)&gt;Settings!$B$7),"CALIBRATE EC meters (differ "&amp;ROUND(ABS(K10-L10),2)&amp;")",IF(AND(M10&lt;&gt;"",N10&lt;&gt;"",ABS(M10-N10)&gt;Settings!$B$8),"CALIBRATE pH meters (differ "&amp;ROUND(ABS(M10-N10),2)&amp;")","OK"))</f>
        <v/>
      </c>
      <c r="U10" s="4">
        <f>IF(J10="","",IF(J10&gt;=E10,"no — level ≥ "&amp;E10,IF(F10="morning",IF(OR(Settings!$B$2="08:00",J10&lt;G10),"yes","no — not morning and ≥ "&amp;G10&amp;" cm"),IF(F10="below",IF(J10&lt;G10,"yes","no — ≥ "&amp;G10&amp;" cm"),"yes"))))</f>
        <v/>
      </c>
      <c r="V10" s="4">
        <f>IF(U10="yes",MAX(0,ROUND(E10-J10,0)),0)</f>
        <v/>
      </c>
      <c r="W10" s="4">
        <f>IF(V10&gt;0,ROUND(C10*D10*V10/1000,0),0)</f>
        <v/>
      </c>
      <c r="X10" s="4">
        <f>IF(OR(T10&lt;&gt;"OK",V10&lt;=0),0,ROUND(V10/H10*I10,0))</f>
        <v/>
      </c>
      <c r="Y10" s="4">
        <f>X10</f>
        <v/>
      </c>
      <c r="Z10" s="4">
        <f>IF(OR(T10&lt;&gt;"OK",V10&lt;=0),0,ROUND(V10*Settings!$B$5*IF(S10="",1,MAX(0.5,MIN(2,1+(S10-Settings!$B$6)))),0))</f>
        <v/>
      </c>
      <c r="AA10" s="4">
        <f>IF(T10&lt;&gt;"OK","⚠ "&amp;T10&amp;" — re-measure, no dose until the two meters agree",IF(J10="","— no reading —",IF(U10&lt;&gt;"yes",U10&amp;" — add nothing"&amp;IF(AND(O10&lt;&gt;"",O10&gt;Settings!$B$9)," · ⚠ water hot ("&amp;O10&amp;" °C)",""),"Fill to "&amp;E10&amp;" cm: add "&amp;W10&amp;" L "&amp;LOWER(Q10)&amp;" water · A "&amp;X10&amp;" L · B "&amp;Y10&amp;" L"&amp;IF(Z10&gt;0," · C "&amp;Z10&amp;" cc","")&amp;IF(AND("P09"="P10",R10&lt;&gt;"",R10&lt;Settings!$B$3)," · EC "&amp;R10&amp;" &lt; 1.7: add 1 L more A and B after mixing, re-check, until ≈ 1.7","")&amp;IF(AND(O10&lt;&gt;"",O10&gt;Settings!$B$9)," · ⚠ water hot ("&amp;O10&amp;" °C)",""))))</f>
        <v/>
      </c>
    </row>
    <row r="11">
      <c r="A11" s="2" t="inlineStr">
        <is>
          <t>Pool 10</t>
        </is>
      </c>
      <c r="B11" s="2" t="inlineStr">
        <is>
          <t>GH10</t>
        </is>
      </c>
      <c r="C11" s="2" t="n">
        <v>180</v>
      </c>
      <c r="D11" s="2" t="n">
        <v>118</v>
      </c>
      <c r="E11" s="2" t="n">
        <v>120</v>
      </c>
      <c r="F11" s="2" t="inlineStr">
        <is>
          <t>always</t>
        </is>
      </c>
      <c r="G11" s="2" t="inlineStr"/>
      <c r="H11" s="2" t="n">
        <v>10</v>
      </c>
      <c r="I11" s="2" t="n">
        <v>1</v>
      </c>
      <c r="J11" s="3" t="n"/>
      <c r="K11" s="3" t="n"/>
      <c r="L11" s="3" t="n"/>
      <c r="M11" s="3" t="n"/>
      <c r="N11" s="3" t="n"/>
      <c r="O11" s="3" t="n"/>
      <c r="P11" s="3" t="inlineStr">
        <is>
          <t>Pure</t>
        </is>
      </c>
      <c r="Q11" s="3" t="n">
        <v>0</v>
      </c>
      <c r="R11" s="4">
        <f>IF(AND(K11="",L11=""),"",IF(OR(K11="",L11=""),MAX(K11,L11),IF(ABS(K11-L11)&lt;=Settings!$B$7,ROUND(AVERAGE(K11,L11),2),"")))</f>
        <v/>
      </c>
      <c r="S11" s="4">
        <f>IF(AND(M11="",N11=""),"",IF(OR(M11="",N11=""),MAX(M11,N11),IF(ABS(M11-N11)&lt;=Settings!$B$8,ROUND(AVERAGE(M11,N11),2),"")))</f>
        <v/>
      </c>
      <c r="T11" s="4">
        <f>IF(AND(K11&lt;&gt;"",L11&lt;&gt;"",ABS(K11-L11)&gt;Settings!$B$7),"CALIBRATE EC meters (differ "&amp;ROUND(ABS(K11-L11),2)&amp;")",IF(AND(M11&lt;&gt;"",N11&lt;&gt;"",ABS(M11-N11)&gt;Settings!$B$8),"CALIBRATE pH meters (differ "&amp;ROUND(ABS(M11-N11),2)&amp;")","OK"))</f>
        <v/>
      </c>
      <c r="U11" s="4">
        <f>IF(J11="","",IF(J11&gt;=E11,"no — level ≥ "&amp;E11,IF(F11="morning",IF(OR(Settings!$B$2="08:00",J11&lt;G11),"yes","no — not morning and ≥ "&amp;G11&amp;" cm"),IF(F11="below",IF(J11&lt;G11,"yes","no — ≥ "&amp;G11&amp;" cm"),"yes"))))</f>
        <v/>
      </c>
      <c r="V11" s="4">
        <f>IF(U11="yes",MAX(0,ROUND(E11-J11,0)),0)</f>
        <v/>
      </c>
      <c r="W11" s="4">
        <f>IF(V11&gt;0,ROUND(C11*D11*V11/1000,0),0)</f>
        <v/>
      </c>
      <c r="X11" s="4">
        <f>IF(OR(T11&lt;&gt;"OK",V11&lt;=0),0,ROUND(V11/H11*I11,0))</f>
        <v/>
      </c>
      <c r="Y11" s="4">
        <f>X11</f>
        <v/>
      </c>
      <c r="Z11" s="4">
        <f>IF(OR(T11&lt;&gt;"OK",V11&lt;=0),0,ROUND(V11*Settings!$B$5*IF(S11="",1,MAX(0.5,MIN(2,1+(S11-Settings!$B$6)))),0))</f>
        <v/>
      </c>
      <c r="AA11" s="4">
        <f>IF(T11&lt;&gt;"OK","⚠ "&amp;T11&amp;" — re-measure, no dose until the two meters agree",IF(J11="","— no reading —",IF(U11&lt;&gt;"yes",U11&amp;" — add nothing"&amp;IF(AND(O11&lt;&gt;"",O11&gt;Settings!$B$9)," · ⚠ water hot ("&amp;O11&amp;" °C)",""),"Fill to "&amp;E11&amp;" cm: add "&amp;W11&amp;" L "&amp;LOWER(Q11)&amp;" water · A "&amp;X11&amp;" L · B "&amp;Y11&amp;" L"&amp;IF(Z11&gt;0," · C "&amp;Z11&amp;" cc","")&amp;IF(AND("P10"="P10",R11&lt;&gt;"",R11&lt;Settings!$B$3)," · EC "&amp;R11&amp;" &lt; 1.7: add 1 L more A and B after mixing, re-check, until ≈ 1.7","")&amp;IF(AND(O11&lt;&gt;"",O11&gt;Settings!$B$9)," · ⚠ water hot ("&amp;O11&amp;" °C)",""))))</f>
        <v/>
      </c>
    </row>
    <row r="12">
      <c r="A12" s="2" t="inlineStr">
        <is>
          <t>PRJ11-A</t>
        </is>
      </c>
      <c r="B12" s="2" t="inlineStr">
        <is>
          <t>PRJ11</t>
        </is>
      </c>
      <c r="C12" s="2" t="n">
        <v>110</v>
      </c>
      <c r="D12" s="2" t="n">
        <v>123</v>
      </c>
      <c r="E12" s="2" t="n">
        <v>100</v>
      </c>
      <c r="F12" s="2" t="inlineStr">
        <is>
          <t>matrix</t>
        </is>
      </c>
      <c r="G12" s="2" t="inlineStr"/>
      <c r="H12" s="2" t="inlineStr"/>
      <c r="I12" s="2" t="inlineStr"/>
      <c r="J12" s="3" t="n"/>
      <c r="K12" s="3" t="n"/>
      <c r="L12" s="3" t="n"/>
      <c r="M12" s="3" t="n"/>
      <c r="N12" s="3" t="n"/>
      <c r="O12" s="3" t="n"/>
      <c r="P12" s="3" t="inlineStr">
        <is>
          <t>Pure</t>
        </is>
      </c>
      <c r="Q12" s="3" t="n">
        <v>0</v>
      </c>
      <c r="R12" s="4">
        <f>IF(AND(K12="",L12=""),"",IF(OR(K12="",L12=""),MAX(K12,L12),IF(ABS(K12-L12)&lt;=Settings!$B$7,ROUND(AVERAGE(K12,L12),2),"")))</f>
        <v/>
      </c>
      <c r="S12" s="4">
        <f>IF(AND(M12="",N12=""),"",IF(OR(M12="",N12=""),MAX(M12,N12),IF(ABS(M12-N12)&lt;=Settings!$B$8,ROUND(AVERAGE(M12,N12),2),"")))</f>
        <v/>
      </c>
      <c r="T12" s="4">
        <f>IF(AND(K12&lt;&gt;"",L12&lt;&gt;"",ABS(K12-L12)&gt;Settings!$B$7),"CALIBRATE EC meters (differ "&amp;ROUND(ABS(K12-L12),2)&amp;")",IF(AND(M12&lt;&gt;"",N12&lt;&gt;"",ABS(M12-N12)&gt;Settings!$B$8),"CALIBRATE pH meters (differ "&amp;ROUND(ABS(M12-N12),2)&amp;")","OK"))</f>
        <v/>
      </c>
      <c r="U12" s="4">
        <f>IF(J12="","",IF(J12&gt;=E12,"no — level ≥ "&amp;E12,IF(F12="morning",IF(OR(Settings!$B$2="08:00",J12&lt;G12),"yes","no — not morning and ≥ "&amp;G12&amp;" cm"),IF(F12="below",IF(J12&lt;G12,"yes","no — ≥ "&amp;G12&amp;" cm"),"yes"))))</f>
        <v/>
      </c>
      <c r="V12" s="4">
        <f>IF(U12="yes",MAX(0,ROUND(E12-J12,0)),0)</f>
        <v/>
      </c>
      <c r="W12" s="4">
        <f>IF(V12&gt;0,ROUND(C12*D12*V12/1000,0),0)</f>
        <v/>
      </c>
      <c r="X12" s="4">
        <f>IF(OR(T12&lt;&gt;"OK",V12&lt;=0,R12=""),0,ROUND(IFERROR(INDEX(Matrix!$B$2:$AW$19,MATCH(TEXT(MAX(1.5,MROUND(R12,0.05)),"0.00"),Matrix!$A$2:$A$19,0),MATCH(MIN(48,MAX(1,V12)),Matrix!$B$1:$AW$1,0)),0)*1.0*IF(Q12="Pure",1,IF(Q12="Over-tank",MAX(0,1-Settings!$B$4/Settings!$B$10),MAX(0,1-Settings!$B$4/Settings!$B$10*P12/100)))/1000,2))</f>
        <v/>
      </c>
      <c r="Y12" s="4">
        <f>X12</f>
        <v/>
      </c>
      <c r="Z12" s="4">
        <f>IF(OR(T12&lt;&gt;"OK",V12&lt;=0),0,ROUND(V12*Settings!$B$5*IF(S12="",1,MAX(0.5,MIN(2,1+(S12-Settings!$B$6)))),0))</f>
        <v/>
      </c>
      <c r="AA12" s="4">
        <f>IF(T12&lt;&gt;"OK","⚠ "&amp;T12&amp;" — re-measure, no dose until the two meters agree",IF(J12="","— no reading —",IF(U12&lt;&gt;"yes",U12&amp;" — add nothing"&amp;IF(AND(O12&lt;&gt;"",O12&gt;Settings!$B$9)," · ⚠ water hot ("&amp;O12&amp;" °C)",""),"Fill to "&amp;E12&amp;" cm: add "&amp;W12&amp;" L "&amp;LOWER(Q12)&amp;" water · A "&amp;X12&amp;" L · B "&amp;Y12&amp;" L"&amp;IF(Z12&gt;0," · C "&amp;Z12&amp;" cc","")&amp;IF(AND("P11A"="P10",R12&lt;&gt;"",R12&lt;Settings!$B$3)," · EC "&amp;R12&amp;" &lt; 1.7: add 1 L more A and B after mixing, re-check, until ≈ 1.7","")&amp;IF(AND(O12&lt;&gt;"",O12&gt;Settings!$B$9)," · ⚠ water hot ("&amp;O12&amp;" °C)",""))))</f>
        <v/>
      </c>
    </row>
    <row r="13">
      <c r="A13" s="2" t="inlineStr">
        <is>
          <t>PRJ11-B</t>
        </is>
      </c>
      <c r="B13" s="2" t="inlineStr">
        <is>
          <t>PRJ11</t>
        </is>
      </c>
      <c r="C13" s="2" t="n">
        <v>110</v>
      </c>
      <c r="D13" s="2" t="n">
        <v>123</v>
      </c>
      <c r="E13" s="2" t="n">
        <v>100</v>
      </c>
      <c r="F13" s="2" t="inlineStr">
        <is>
          <t>matrix</t>
        </is>
      </c>
      <c r="G13" s="2" t="inlineStr"/>
      <c r="H13" s="2" t="inlineStr"/>
      <c r="I13" s="2" t="inlineStr"/>
      <c r="J13" s="3" t="n"/>
      <c r="K13" s="3" t="n"/>
      <c r="L13" s="3" t="n"/>
      <c r="M13" s="3" t="n"/>
      <c r="N13" s="3" t="n"/>
      <c r="O13" s="3" t="n"/>
      <c r="P13" s="3" t="inlineStr">
        <is>
          <t>Pure</t>
        </is>
      </c>
      <c r="Q13" s="3" t="n">
        <v>0</v>
      </c>
      <c r="R13" s="4">
        <f>IF(AND(K13="",L13=""),"",IF(OR(K13="",L13=""),MAX(K13,L13),IF(ABS(K13-L13)&lt;=Settings!$B$7,ROUND(AVERAGE(K13,L13),2),"")))</f>
        <v/>
      </c>
      <c r="S13" s="4">
        <f>IF(AND(M13="",N13=""),"",IF(OR(M13="",N13=""),MAX(M13,N13),IF(ABS(M13-N13)&lt;=Settings!$B$8,ROUND(AVERAGE(M13,N13),2),"")))</f>
        <v/>
      </c>
      <c r="T13" s="4">
        <f>IF(AND(K13&lt;&gt;"",L13&lt;&gt;"",ABS(K13-L13)&gt;Settings!$B$7),"CALIBRATE EC meters (differ "&amp;ROUND(ABS(K13-L13),2)&amp;")",IF(AND(M13&lt;&gt;"",N13&lt;&gt;"",ABS(M13-N13)&gt;Settings!$B$8),"CALIBRATE pH meters (differ "&amp;ROUND(ABS(M13-N13),2)&amp;")","OK"))</f>
        <v/>
      </c>
      <c r="U13" s="4">
        <f>IF(J13="","",IF(J13&gt;=E13,"no — level ≥ "&amp;E13,IF(F13="morning",IF(OR(Settings!$B$2="08:00",J13&lt;G13),"yes","no — not morning and ≥ "&amp;G13&amp;" cm"),IF(F13="below",IF(J13&lt;G13,"yes","no — ≥ "&amp;G13&amp;" cm"),"yes"))))</f>
        <v/>
      </c>
      <c r="V13" s="4">
        <f>IF(U13="yes",MAX(0,ROUND(E13-J13,0)),0)</f>
        <v/>
      </c>
      <c r="W13" s="4">
        <f>IF(V13&gt;0,ROUND(C13*D13*V13/1000,0),0)</f>
        <v/>
      </c>
      <c r="X13" s="4">
        <f>IF(OR(T13&lt;&gt;"OK",V13&lt;=0,R13=""),0,ROUND(IFERROR(INDEX(Matrix!$B$2:$AW$19,MATCH(TEXT(MAX(1.5,MROUND(R13,0.05)),"0.00"),Matrix!$A$2:$A$19,0),MATCH(MIN(48,MAX(1,V13)),Matrix!$B$1:$AW$1,0)),0)*1.0*IF(Q13="Pure",1,IF(Q13="Over-tank",MAX(0,1-Settings!$B$4/Settings!$B$10),MAX(0,1-Settings!$B$4/Settings!$B$10*P13/100)))/1000,2))</f>
        <v/>
      </c>
      <c r="Y13" s="4">
        <f>X13</f>
        <v/>
      </c>
      <c r="Z13" s="4">
        <f>IF(OR(T13&lt;&gt;"OK",V13&lt;=0),0,ROUND(V13*Settings!$B$5*IF(S13="",1,MAX(0.5,MIN(2,1+(S13-Settings!$B$6)))),0))</f>
        <v/>
      </c>
      <c r="AA13" s="4">
        <f>IF(T13&lt;&gt;"OK","⚠ "&amp;T13&amp;" — re-measure, no dose until the two meters agree",IF(J13="","— no reading —",IF(U13&lt;&gt;"yes",U13&amp;" — add nothing"&amp;IF(AND(O13&lt;&gt;"",O13&gt;Settings!$B$9)," · ⚠ water hot ("&amp;O13&amp;" °C)",""),"Fill to "&amp;E13&amp;" cm: add "&amp;W13&amp;" L "&amp;LOWER(Q13)&amp;" water · A "&amp;X13&amp;" L · B "&amp;Y13&amp;" L"&amp;IF(Z13&gt;0," · C "&amp;Z13&amp;" cc","")&amp;IF(AND("P11B"="P10",R13&lt;&gt;"",R13&lt;Settings!$B$3)," · EC "&amp;R13&amp;" &lt; 1.7: add 1 L more A and B after mixing, re-check, until ≈ 1.7","")&amp;IF(AND(O13&lt;&gt;"",O13&gt;Settings!$B$9)," · ⚠ water hot ("&amp;O13&amp;" °C)",""))))</f>
        <v/>
      </c>
    </row>
    <row r="14">
      <c r="A14" s="2" t="inlineStr">
        <is>
          <t>PRJ12-A</t>
        </is>
      </c>
      <c r="B14" s="2" t="inlineStr">
        <is>
          <t>PRJ12</t>
        </is>
      </c>
      <c r="C14" s="2" t="n">
        <v>200</v>
      </c>
      <c r="D14" s="2" t="n">
        <v>120</v>
      </c>
      <c r="E14" s="2" t="n">
        <v>110</v>
      </c>
      <c r="F14" s="2" t="inlineStr">
        <is>
          <t>matrix</t>
        </is>
      </c>
      <c r="G14" s="2" t="inlineStr"/>
      <c r="H14" s="2" t="inlineStr"/>
      <c r="I14" s="2" t="inlineStr"/>
      <c r="J14" s="3" t="n"/>
      <c r="K14" s="3" t="n"/>
      <c r="L14" s="3" t="n"/>
      <c r="M14" s="3" t="n"/>
      <c r="N14" s="3" t="n"/>
      <c r="O14" s="3" t="n"/>
      <c r="P14" s="3" t="inlineStr">
        <is>
          <t>Pure</t>
        </is>
      </c>
      <c r="Q14" s="3" t="n">
        <v>0</v>
      </c>
      <c r="R14" s="4">
        <f>IF(AND(K14="",L14=""),"",IF(OR(K14="",L14=""),MAX(K14,L14),IF(ABS(K14-L14)&lt;=Settings!$B$7,ROUND(AVERAGE(K14,L14),2),"")))</f>
        <v/>
      </c>
      <c r="S14" s="4">
        <f>IF(AND(M14="",N14=""),"",IF(OR(M14="",N14=""),MAX(M14,N14),IF(ABS(M14-N14)&lt;=Settings!$B$8,ROUND(AVERAGE(M14,N14),2),"")))</f>
        <v/>
      </c>
      <c r="T14" s="4">
        <f>IF(AND(K14&lt;&gt;"",L14&lt;&gt;"",ABS(K14-L14)&gt;Settings!$B$7),"CALIBRATE EC meters (differ "&amp;ROUND(ABS(K14-L14),2)&amp;")",IF(AND(M14&lt;&gt;"",N14&lt;&gt;"",ABS(M14-N14)&gt;Settings!$B$8),"CALIBRATE pH meters (differ "&amp;ROUND(ABS(M14-N14),2)&amp;")","OK"))</f>
        <v/>
      </c>
      <c r="U14" s="4">
        <f>IF(J14="","",IF(J14&gt;=E14,"no — level ≥ "&amp;E14,IF(F14="morning",IF(OR(Settings!$B$2="08:00",J14&lt;G14),"yes","no — not morning and ≥ "&amp;G14&amp;" cm"),IF(F14="below",IF(J14&lt;G14,"yes","no — ≥ "&amp;G14&amp;" cm"),"yes"))))</f>
        <v/>
      </c>
      <c r="V14" s="4">
        <f>IF(U14="yes",MAX(0,ROUND(E14-J14,0)),0)</f>
        <v/>
      </c>
      <c r="W14" s="4">
        <f>IF(V14&gt;0,ROUND(C14*D14*V14/1000,0),0)</f>
        <v/>
      </c>
      <c r="X14" s="4">
        <f>IF(OR(T14&lt;&gt;"OK",V14&lt;=0,R14=""),0,ROUND(IFERROR(INDEX(Matrix!$B$2:$AW$19,MATCH(TEXT(MAX(1.5,MROUND(R14,0.05)),"0.00"),Matrix!$A$2:$A$19,0),MATCH(MIN(48,MAX(1,V14)),Matrix!$B$1:$AW$1,0)),0)*1.0*IF(Q14="Pure",1,IF(Q14="Over-tank",MAX(0,1-Settings!$B$4/Settings!$B$10),MAX(0,1-Settings!$B$4/Settings!$B$10*P14/100)))/1000,2))</f>
        <v/>
      </c>
      <c r="Y14" s="4">
        <f>X14</f>
        <v/>
      </c>
      <c r="Z14" s="4">
        <f>IF(OR(T14&lt;&gt;"OK",V14&lt;=0),0,ROUND(V14*Settings!$B$5*IF(S14="",1,MAX(0.5,MIN(2,1+(S14-Settings!$B$6)))),0))</f>
        <v/>
      </c>
      <c r="AA14" s="4">
        <f>IF(T14&lt;&gt;"OK","⚠ "&amp;T14&amp;" — re-measure, no dose until the two meters agree",IF(J14="","— no reading —",IF(U14&lt;&gt;"yes",U14&amp;" — add nothing"&amp;IF(AND(O14&lt;&gt;"",O14&gt;Settings!$B$9)," · ⚠ water hot ("&amp;O14&amp;" °C)",""),"Fill to "&amp;E14&amp;" cm: add "&amp;W14&amp;" L "&amp;LOWER(Q14)&amp;" water · A "&amp;X14&amp;" L · B "&amp;Y14&amp;" L"&amp;IF(Z14&gt;0," · C "&amp;Z14&amp;" cc","")&amp;IF(AND("P12A"="P10",R14&lt;&gt;"",R14&lt;Settings!$B$3)," · EC "&amp;R14&amp;" &lt; 1.7: add 1 L more A and B after mixing, re-check, until ≈ 1.7","")&amp;IF(AND(O14&lt;&gt;"",O14&gt;Settings!$B$9)," · ⚠ water hot ("&amp;O14&amp;" °C)",""))))</f>
        <v/>
      </c>
    </row>
    <row r="15">
      <c r="A15" s="2" t="inlineStr">
        <is>
          <t>PRJ12-B</t>
        </is>
      </c>
      <c r="B15" s="2" t="inlineStr">
        <is>
          <t>PRJ12</t>
        </is>
      </c>
      <c r="C15" s="2" t="n">
        <v>200</v>
      </c>
      <c r="D15" s="2" t="n">
        <v>120</v>
      </c>
      <c r="E15" s="2" t="n">
        <v>110</v>
      </c>
      <c r="F15" s="2" t="inlineStr">
        <is>
          <t>matrix</t>
        </is>
      </c>
      <c r="G15" s="2" t="inlineStr"/>
      <c r="H15" s="2" t="inlineStr"/>
      <c r="I15" s="2" t="inlineStr"/>
      <c r="J15" s="3" t="n"/>
      <c r="K15" s="3" t="n"/>
      <c r="L15" s="3" t="n"/>
      <c r="M15" s="3" t="n"/>
      <c r="N15" s="3" t="n"/>
      <c r="O15" s="3" t="n"/>
      <c r="P15" s="3" t="inlineStr">
        <is>
          <t>Pure</t>
        </is>
      </c>
      <c r="Q15" s="3" t="n">
        <v>0</v>
      </c>
      <c r="R15" s="4">
        <f>IF(AND(K15="",L15=""),"",IF(OR(K15="",L15=""),MAX(K15,L15),IF(ABS(K15-L15)&lt;=Settings!$B$7,ROUND(AVERAGE(K15,L15),2),"")))</f>
        <v/>
      </c>
      <c r="S15" s="4">
        <f>IF(AND(M15="",N15=""),"",IF(OR(M15="",N15=""),MAX(M15,N15),IF(ABS(M15-N15)&lt;=Settings!$B$8,ROUND(AVERAGE(M15,N15),2),"")))</f>
        <v/>
      </c>
      <c r="T15" s="4">
        <f>IF(AND(K15&lt;&gt;"",L15&lt;&gt;"",ABS(K15-L15)&gt;Settings!$B$7),"CALIBRATE EC meters (differ "&amp;ROUND(ABS(K15-L15),2)&amp;")",IF(AND(M15&lt;&gt;"",N15&lt;&gt;"",ABS(M15-N15)&gt;Settings!$B$8),"CALIBRATE pH meters (differ "&amp;ROUND(ABS(M15-N15),2)&amp;")","OK"))</f>
        <v/>
      </c>
      <c r="U15" s="4">
        <f>IF(J15="","",IF(J15&gt;=E15,"no — level ≥ "&amp;E15,IF(F15="morning",IF(OR(Settings!$B$2="08:00",J15&lt;G15),"yes","no — not morning and ≥ "&amp;G15&amp;" cm"),IF(F15="below",IF(J15&lt;G15,"yes","no — ≥ "&amp;G15&amp;" cm"),"yes"))))</f>
        <v/>
      </c>
      <c r="V15" s="4">
        <f>IF(U15="yes",MAX(0,ROUND(E15-J15,0)),0)</f>
        <v/>
      </c>
      <c r="W15" s="4">
        <f>IF(V15&gt;0,ROUND(C15*D15*V15/1000,0),0)</f>
        <v/>
      </c>
      <c r="X15" s="4">
        <f>IF(OR(T15&lt;&gt;"OK",V15&lt;=0,R15=""),0,ROUND(IFERROR(INDEX(Matrix!$B$2:$AW$19,MATCH(TEXT(MAX(1.5,MROUND(R15,0.05)),"0.00"),Matrix!$A$2:$A$19,0),MATCH(MIN(48,MAX(1,V15)),Matrix!$B$1:$AW$1,0)),0)*1.0*IF(Q15="Pure",1,IF(Q15="Over-tank",MAX(0,1-Settings!$B$4/Settings!$B$10),MAX(0,1-Settings!$B$4/Settings!$B$10*P15/100)))/1000,2))</f>
        <v/>
      </c>
      <c r="Y15" s="4">
        <f>X15</f>
        <v/>
      </c>
      <c r="Z15" s="4">
        <f>IF(OR(T15&lt;&gt;"OK",V15&lt;=0),0,ROUND(V15*Settings!$B$5*IF(S15="",1,MAX(0.5,MIN(2,1+(S15-Settings!$B$6)))),0))</f>
        <v/>
      </c>
      <c r="AA15" s="4">
        <f>IF(T15&lt;&gt;"OK","⚠ "&amp;T15&amp;" — re-measure, no dose until the two meters agree",IF(J15="","— no reading —",IF(U15&lt;&gt;"yes",U15&amp;" — add nothing"&amp;IF(AND(O15&lt;&gt;"",O15&gt;Settings!$B$9)," · ⚠ water hot ("&amp;O15&amp;" °C)",""),"Fill to "&amp;E15&amp;" cm: add "&amp;W15&amp;" L "&amp;LOWER(Q15)&amp;" water · A "&amp;X15&amp;" L · B "&amp;Y15&amp;" L"&amp;IF(Z15&gt;0," · C "&amp;Z15&amp;" cc","")&amp;IF(AND("P12B"="P10",R15&lt;&gt;"",R15&lt;Settings!$B$3)," · EC "&amp;R15&amp;" &lt; 1.7: add 1 L more A and B after mixing, re-check, until ≈ 1.7","")&amp;IF(AND(O15&lt;&gt;"",O15&gt;Settings!$B$9)," · ⚠ water hot ("&amp;O15&amp;" °C)",""))))</f>
        <v/>
      </c>
    </row>
    <row r="16">
      <c r="A16" s="2" t="inlineStr">
        <is>
          <t>PRJ12-C</t>
        </is>
      </c>
      <c r="B16" s="2" t="inlineStr">
        <is>
          <t>PRJ12</t>
        </is>
      </c>
      <c r="C16" s="2" t="n">
        <v>200</v>
      </c>
      <c r="D16" s="2" t="n">
        <v>120</v>
      </c>
      <c r="E16" s="2" t="n">
        <v>110</v>
      </c>
      <c r="F16" s="2" t="inlineStr">
        <is>
          <t>matrix</t>
        </is>
      </c>
      <c r="G16" s="2" t="inlineStr"/>
      <c r="H16" s="2" t="inlineStr"/>
      <c r="I16" s="2" t="inlineStr"/>
      <c r="J16" s="3" t="n"/>
      <c r="K16" s="3" t="n"/>
      <c r="L16" s="3" t="n"/>
      <c r="M16" s="3" t="n"/>
      <c r="N16" s="3" t="n"/>
      <c r="O16" s="3" t="n"/>
      <c r="P16" s="3" t="inlineStr">
        <is>
          <t>Pure</t>
        </is>
      </c>
      <c r="Q16" s="3" t="n">
        <v>0</v>
      </c>
      <c r="R16" s="4">
        <f>IF(AND(K16="",L16=""),"",IF(OR(K16="",L16=""),MAX(K16,L16),IF(ABS(K16-L16)&lt;=Settings!$B$7,ROUND(AVERAGE(K16,L16),2),"")))</f>
        <v/>
      </c>
      <c r="S16" s="4">
        <f>IF(AND(M16="",N16=""),"",IF(OR(M16="",N16=""),MAX(M16,N16),IF(ABS(M16-N16)&lt;=Settings!$B$8,ROUND(AVERAGE(M16,N16),2),"")))</f>
        <v/>
      </c>
      <c r="T16" s="4">
        <f>IF(AND(K16&lt;&gt;"",L16&lt;&gt;"",ABS(K16-L16)&gt;Settings!$B$7),"CALIBRATE EC meters (differ "&amp;ROUND(ABS(K16-L16),2)&amp;")",IF(AND(M16&lt;&gt;"",N16&lt;&gt;"",ABS(M16-N16)&gt;Settings!$B$8),"CALIBRATE pH meters (differ "&amp;ROUND(ABS(M16-N16),2)&amp;")","OK"))</f>
        <v/>
      </c>
      <c r="U16" s="4">
        <f>IF(J16="","",IF(J16&gt;=E16,"no — level ≥ "&amp;E16,IF(F16="morning",IF(OR(Settings!$B$2="08:00",J16&lt;G16),"yes","no — not morning and ≥ "&amp;G16&amp;" cm"),IF(F16="below",IF(J16&lt;G16,"yes","no — ≥ "&amp;G16&amp;" cm"),"yes"))))</f>
        <v/>
      </c>
      <c r="V16" s="4">
        <f>IF(U16="yes",MAX(0,ROUND(E16-J16,0)),0)</f>
        <v/>
      </c>
      <c r="W16" s="4">
        <f>IF(V16&gt;0,ROUND(C16*D16*V16/1000,0),0)</f>
        <v/>
      </c>
      <c r="X16" s="4">
        <f>IF(OR(T16&lt;&gt;"OK",V16&lt;=0,R16=""),0,ROUND(IFERROR(INDEX(Matrix!$B$2:$AW$19,MATCH(TEXT(MAX(1.5,MROUND(R16,0.05)),"0.00"),Matrix!$A$2:$A$19,0),MATCH(MIN(48,MAX(1,V16)),Matrix!$B$1:$AW$1,0)),0)*1.0*IF(Q16="Pure",1,IF(Q16="Over-tank",MAX(0,1-Settings!$B$4/Settings!$B$10),MAX(0,1-Settings!$B$4/Settings!$B$10*P16/100)))/1000,2))</f>
        <v/>
      </c>
      <c r="Y16" s="4">
        <f>X16</f>
        <v/>
      </c>
      <c r="Z16" s="4">
        <f>IF(OR(T16&lt;&gt;"OK",V16&lt;=0),0,ROUND(V16*Settings!$B$5*IF(S16="",1,MAX(0.5,MIN(2,1+(S16-Settings!$B$6)))),0))</f>
        <v/>
      </c>
      <c r="AA16" s="4">
        <f>IF(T16&lt;&gt;"OK","⚠ "&amp;T16&amp;" — re-measure, no dose until the two meters agree",IF(J16="","— no reading —",IF(U16&lt;&gt;"yes",U16&amp;" — add nothing"&amp;IF(AND(O16&lt;&gt;"",O16&gt;Settings!$B$9)," · ⚠ water hot ("&amp;O16&amp;" °C)",""),"Fill to "&amp;E16&amp;" cm: add "&amp;W16&amp;" L "&amp;LOWER(Q16)&amp;" water · A "&amp;X16&amp;" L · B "&amp;Y16&amp;" L"&amp;IF(Z16&gt;0," · C "&amp;Z16&amp;" cc","")&amp;IF(AND("P12C"="P10",R16&lt;&gt;"",R16&lt;Settings!$B$3)," · EC "&amp;R16&amp;" &lt; 1.7: add 1 L more A and B after mixing, re-check, until ≈ 1.7","")&amp;IF(AND(O16&lt;&gt;"",O16&gt;Settings!$B$9)," · ⚠ water hot ("&amp;O16&amp;" °C)",""))))</f>
        <v/>
      </c>
    </row>
    <row r="17">
      <c r="A17" s="2" t="inlineStr">
        <is>
          <t>PRJ12-D</t>
        </is>
      </c>
      <c r="B17" s="2" t="inlineStr">
        <is>
          <t>PRJ12</t>
        </is>
      </c>
      <c r="C17" s="2" t="n">
        <v>200</v>
      </c>
      <c r="D17" s="2" t="n">
        <v>120</v>
      </c>
      <c r="E17" s="2" t="n">
        <v>110</v>
      </c>
      <c r="F17" s="2" t="inlineStr">
        <is>
          <t>matrix</t>
        </is>
      </c>
      <c r="G17" s="2" t="inlineStr"/>
      <c r="H17" s="2" t="inlineStr"/>
      <c r="I17" s="2" t="inlineStr"/>
      <c r="J17" s="3" t="n"/>
      <c r="K17" s="3" t="n"/>
      <c r="L17" s="3" t="n"/>
      <c r="M17" s="3" t="n"/>
      <c r="N17" s="3" t="n"/>
      <c r="O17" s="3" t="n"/>
      <c r="P17" s="3" t="inlineStr">
        <is>
          <t>Pure</t>
        </is>
      </c>
      <c r="Q17" s="3" t="n">
        <v>0</v>
      </c>
      <c r="R17" s="4">
        <f>IF(AND(K17="",L17=""),"",IF(OR(K17="",L17=""),MAX(K17,L17),IF(ABS(K17-L17)&lt;=Settings!$B$7,ROUND(AVERAGE(K17,L17),2),"")))</f>
        <v/>
      </c>
      <c r="S17" s="4">
        <f>IF(AND(M17="",N17=""),"",IF(OR(M17="",N17=""),MAX(M17,N17),IF(ABS(M17-N17)&lt;=Settings!$B$8,ROUND(AVERAGE(M17,N17),2),"")))</f>
        <v/>
      </c>
      <c r="T17" s="4">
        <f>IF(AND(K17&lt;&gt;"",L17&lt;&gt;"",ABS(K17-L17)&gt;Settings!$B$7),"CALIBRATE EC meters (differ "&amp;ROUND(ABS(K17-L17),2)&amp;")",IF(AND(M17&lt;&gt;"",N17&lt;&gt;"",ABS(M17-N17)&gt;Settings!$B$8),"CALIBRATE pH meters (differ "&amp;ROUND(ABS(M17-N17),2)&amp;")","OK"))</f>
        <v/>
      </c>
      <c r="U17" s="4">
        <f>IF(J17="","",IF(J17&gt;=E17,"no — level ≥ "&amp;E17,IF(F17="morning",IF(OR(Settings!$B$2="08:00",J17&lt;G17),"yes","no — not morning and ≥ "&amp;G17&amp;" cm"),IF(F17="below",IF(J17&lt;G17,"yes","no — ≥ "&amp;G17&amp;" cm"),"yes"))))</f>
        <v/>
      </c>
      <c r="V17" s="4">
        <f>IF(U17="yes",MAX(0,ROUND(E17-J17,0)),0)</f>
        <v/>
      </c>
      <c r="W17" s="4">
        <f>IF(V17&gt;0,ROUND(C17*D17*V17/1000,0),0)</f>
        <v/>
      </c>
      <c r="X17" s="4">
        <f>IF(OR(T17&lt;&gt;"OK",V17&lt;=0,R17=""),0,ROUND(IFERROR(INDEX(Matrix!$B$2:$AW$19,MATCH(TEXT(MAX(1.5,MROUND(R17,0.05)),"0.00"),Matrix!$A$2:$A$19,0),MATCH(MIN(48,MAX(1,V17)),Matrix!$B$1:$AW$1,0)),0)*1.0*IF(Q17="Pure",1,IF(Q17="Over-tank",MAX(0,1-Settings!$B$4/Settings!$B$10),MAX(0,1-Settings!$B$4/Settings!$B$10*P17/100)))/1000,2))</f>
        <v/>
      </c>
      <c r="Y17" s="4">
        <f>X17</f>
        <v/>
      </c>
      <c r="Z17" s="4">
        <f>IF(OR(T17&lt;&gt;"OK",V17&lt;=0),0,ROUND(V17*Settings!$B$5*IF(S17="",1,MAX(0.5,MIN(2,1+(S17-Settings!$B$6)))),0))</f>
        <v/>
      </c>
      <c r="AA17" s="4">
        <f>IF(T17&lt;&gt;"OK","⚠ "&amp;T17&amp;" — re-measure, no dose until the two meters agree",IF(J17="","— no reading —",IF(U17&lt;&gt;"yes",U17&amp;" — add nothing"&amp;IF(AND(O17&lt;&gt;"",O17&gt;Settings!$B$9)," · ⚠ water hot ("&amp;O17&amp;" °C)",""),"Fill to "&amp;E17&amp;" cm: add "&amp;W17&amp;" L "&amp;LOWER(Q17)&amp;" water · A "&amp;X17&amp;" L · B "&amp;Y17&amp;" L"&amp;IF(Z17&gt;0," · C "&amp;Z17&amp;" cc","")&amp;IF(AND("P12D"="P10",R17&lt;&gt;"",R17&lt;Settings!$B$3)," · EC "&amp;R17&amp;" &lt; 1.7: add 1 L more A and B after mixing, re-check, until ≈ 1.7","")&amp;IF(AND(O17&lt;&gt;"",O17&gt;Settings!$B$9)," · ⚠ water hot ("&amp;O17&amp;" °C)",""))))</f>
        <v/>
      </c>
    </row>
    <row r="18">
      <c r="A18" s="2" t="inlineStr">
        <is>
          <t>PRJ12-E</t>
        </is>
      </c>
      <c r="B18" s="2" t="inlineStr">
        <is>
          <t>PRJ12</t>
        </is>
      </c>
      <c r="C18" s="2" t="n">
        <v>200</v>
      </c>
      <c r="D18" s="2" t="n">
        <v>120</v>
      </c>
      <c r="E18" s="2" t="n">
        <v>110</v>
      </c>
      <c r="F18" s="2" t="inlineStr">
        <is>
          <t>matrix</t>
        </is>
      </c>
      <c r="G18" s="2" t="inlineStr"/>
      <c r="H18" s="2" t="inlineStr"/>
      <c r="I18" s="2" t="inlineStr"/>
      <c r="J18" s="3" t="n"/>
      <c r="K18" s="3" t="n"/>
      <c r="L18" s="3" t="n"/>
      <c r="M18" s="3" t="n"/>
      <c r="N18" s="3" t="n"/>
      <c r="O18" s="3" t="n"/>
      <c r="P18" s="3" t="inlineStr">
        <is>
          <t>Pure</t>
        </is>
      </c>
      <c r="Q18" s="3" t="n">
        <v>0</v>
      </c>
      <c r="R18" s="4">
        <f>IF(AND(K18="",L18=""),"",IF(OR(K18="",L18=""),MAX(K18,L18),IF(ABS(K18-L18)&lt;=Settings!$B$7,ROUND(AVERAGE(K18,L18),2),"")))</f>
        <v/>
      </c>
      <c r="S18" s="4">
        <f>IF(AND(M18="",N18=""),"",IF(OR(M18="",N18=""),MAX(M18,N18),IF(ABS(M18-N18)&lt;=Settings!$B$8,ROUND(AVERAGE(M18,N18),2),"")))</f>
        <v/>
      </c>
      <c r="T18" s="4">
        <f>IF(AND(K18&lt;&gt;"",L18&lt;&gt;"",ABS(K18-L18)&gt;Settings!$B$7),"CALIBRATE EC meters (differ "&amp;ROUND(ABS(K18-L18),2)&amp;")",IF(AND(M18&lt;&gt;"",N18&lt;&gt;"",ABS(M18-N18)&gt;Settings!$B$8),"CALIBRATE pH meters (differ "&amp;ROUND(ABS(M18-N18),2)&amp;")","OK"))</f>
        <v/>
      </c>
      <c r="U18" s="4">
        <f>IF(J18="","",IF(J18&gt;=E18,"no — level ≥ "&amp;E18,IF(F18="morning",IF(OR(Settings!$B$2="08:00",J18&lt;G18),"yes","no — not morning and ≥ "&amp;G18&amp;" cm"),IF(F18="below",IF(J18&lt;G18,"yes","no — ≥ "&amp;G18&amp;" cm"),"yes"))))</f>
        <v/>
      </c>
      <c r="V18" s="4">
        <f>IF(U18="yes",MAX(0,ROUND(E18-J18,0)),0)</f>
        <v/>
      </c>
      <c r="W18" s="4">
        <f>IF(V18&gt;0,ROUND(C18*D18*V18/1000,0),0)</f>
        <v/>
      </c>
      <c r="X18" s="4">
        <f>IF(OR(T18&lt;&gt;"OK",V18&lt;=0,R18=""),0,ROUND(IFERROR(INDEX(Matrix!$B$2:$AW$19,MATCH(TEXT(MAX(1.5,MROUND(R18,0.05)),"0.00"),Matrix!$A$2:$A$19,0),MATCH(MIN(48,MAX(1,V18)),Matrix!$B$1:$AW$1,0)),0)*1.0*IF(Q18="Pure",1,IF(Q18="Over-tank",MAX(0,1-Settings!$B$4/Settings!$B$10),MAX(0,1-Settings!$B$4/Settings!$B$10*P18/100)))/1000,2))</f>
        <v/>
      </c>
      <c r="Y18" s="4">
        <f>X18</f>
        <v/>
      </c>
      <c r="Z18" s="4">
        <f>IF(OR(T18&lt;&gt;"OK",V18&lt;=0),0,ROUND(V18*Settings!$B$5*IF(S18="",1,MAX(0.5,MIN(2,1+(S18-Settings!$B$6)))),0))</f>
        <v/>
      </c>
      <c r="AA18" s="4">
        <f>IF(T18&lt;&gt;"OK","⚠ "&amp;T18&amp;" — re-measure, no dose until the two meters agree",IF(J18="","— no reading —",IF(U18&lt;&gt;"yes",U18&amp;" — add nothing"&amp;IF(AND(O18&lt;&gt;"",O18&gt;Settings!$B$9)," · ⚠ water hot ("&amp;O18&amp;" °C)",""),"Fill to "&amp;E18&amp;" cm: add "&amp;W18&amp;" L "&amp;LOWER(Q18)&amp;" water · A "&amp;X18&amp;" L · B "&amp;Y18&amp;" L"&amp;IF(Z18&gt;0," · C "&amp;Z18&amp;" cc","")&amp;IF(AND("P12E"="P10",R18&lt;&gt;"",R18&lt;Settings!$B$3)," · EC "&amp;R18&amp;" &lt; 1.7: add 1 L more A and B after mixing, re-check, until ≈ 1.7","")&amp;IF(AND(O18&lt;&gt;"",O18&gt;Settings!$B$9)," · ⚠ water hot ("&amp;O18&amp;" °C)",""))))</f>
        <v/>
      </c>
    </row>
    <row r="19">
      <c r="A19" s="2" t="inlineStr">
        <is>
          <t>PRJ12-F</t>
        </is>
      </c>
      <c r="B19" s="2" t="inlineStr">
        <is>
          <t>PRJ12</t>
        </is>
      </c>
      <c r="C19" s="2" t="n">
        <v>200</v>
      </c>
      <c r="D19" s="2" t="n">
        <v>120</v>
      </c>
      <c r="E19" s="2" t="n">
        <v>110</v>
      </c>
      <c r="F19" s="2" t="inlineStr">
        <is>
          <t>matrix</t>
        </is>
      </c>
      <c r="G19" s="2" t="inlineStr"/>
      <c r="H19" s="2" t="inlineStr"/>
      <c r="I19" s="2" t="inlineStr"/>
      <c r="J19" s="3" t="n"/>
      <c r="K19" s="3" t="n"/>
      <c r="L19" s="3" t="n"/>
      <c r="M19" s="3" t="n"/>
      <c r="N19" s="3" t="n"/>
      <c r="O19" s="3" t="n"/>
      <c r="P19" s="3" t="inlineStr">
        <is>
          <t>Pure</t>
        </is>
      </c>
      <c r="Q19" s="3" t="n">
        <v>0</v>
      </c>
      <c r="R19" s="4">
        <f>IF(AND(K19="",L19=""),"",IF(OR(K19="",L19=""),MAX(K19,L19),IF(ABS(K19-L19)&lt;=Settings!$B$7,ROUND(AVERAGE(K19,L19),2),"")))</f>
        <v/>
      </c>
      <c r="S19" s="4">
        <f>IF(AND(M19="",N19=""),"",IF(OR(M19="",N19=""),MAX(M19,N19),IF(ABS(M19-N19)&lt;=Settings!$B$8,ROUND(AVERAGE(M19,N19),2),"")))</f>
        <v/>
      </c>
      <c r="T19" s="4">
        <f>IF(AND(K19&lt;&gt;"",L19&lt;&gt;"",ABS(K19-L19)&gt;Settings!$B$7),"CALIBRATE EC meters (differ "&amp;ROUND(ABS(K19-L19),2)&amp;")",IF(AND(M19&lt;&gt;"",N19&lt;&gt;"",ABS(M19-N19)&gt;Settings!$B$8),"CALIBRATE pH meters (differ "&amp;ROUND(ABS(M19-N19),2)&amp;")","OK"))</f>
        <v/>
      </c>
      <c r="U19" s="4">
        <f>IF(J19="","",IF(J19&gt;=E19,"no — level ≥ "&amp;E19,IF(F19="morning",IF(OR(Settings!$B$2="08:00",J19&lt;G19),"yes","no — not morning and ≥ "&amp;G19&amp;" cm"),IF(F19="below",IF(J19&lt;G19,"yes","no — ≥ "&amp;G19&amp;" cm"),"yes"))))</f>
        <v/>
      </c>
      <c r="V19" s="4">
        <f>IF(U19="yes",MAX(0,ROUND(E19-J19,0)),0)</f>
        <v/>
      </c>
      <c r="W19" s="4">
        <f>IF(V19&gt;0,ROUND(C19*D19*V19/1000,0),0)</f>
        <v/>
      </c>
      <c r="X19" s="4">
        <f>IF(OR(T19&lt;&gt;"OK",V19&lt;=0,R19=""),0,ROUND(IFERROR(INDEX(Matrix!$B$2:$AW$19,MATCH(TEXT(MAX(1.5,MROUND(R19,0.05)),"0.00"),Matrix!$A$2:$A$19,0),MATCH(MIN(48,MAX(1,V19)),Matrix!$B$1:$AW$1,0)),0)*1.0*IF(Q19="Pure",1,IF(Q19="Over-tank",MAX(0,1-Settings!$B$4/Settings!$B$10),MAX(0,1-Settings!$B$4/Settings!$B$10*P19/100)))/1000,2))</f>
        <v/>
      </c>
      <c r="Y19" s="4">
        <f>X19</f>
        <v/>
      </c>
      <c r="Z19" s="4">
        <f>IF(OR(T19&lt;&gt;"OK",V19&lt;=0),0,ROUND(V19*Settings!$B$5*IF(S19="",1,MAX(0.5,MIN(2,1+(S19-Settings!$B$6)))),0))</f>
        <v/>
      </c>
      <c r="AA19" s="4">
        <f>IF(T19&lt;&gt;"OK","⚠ "&amp;T19&amp;" — re-measure, no dose until the two meters agree",IF(J19="","— no reading —",IF(U19&lt;&gt;"yes",U19&amp;" — add nothing"&amp;IF(AND(O19&lt;&gt;"",O19&gt;Settings!$B$9)," · ⚠ water hot ("&amp;O19&amp;" °C)",""),"Fill to "&amp;E19&amp;" cm: add "&amp;W19&amp;" L "&amp;LOWER(Q19)&amp;" water · A "&amp;X19&amp;" L · B "&amp;Y19&amp;" L"&amp;IF(Z19&gt;0," · C "&amp;Z19&amp;" cc","")&amp;IF(AND("P12F"="P10",R19&lt;&gt;"",R19&lt;Settings!$B$3)," · EC "&amp;R19&amp;" &lt; 1.7: add 1 L more A and B after mixing, re-check, until ≈ 1.7","")&amp;IF(AND(O19&lt;&gt;"",O19&gt;Settings!$B$9)," · ⚠ water hot ("&amp;O19&amp;" °C)",""))))</f>
        <v/>
      </c>
    </row>
    <row r="20">
      <c r="A20" s="2" t="inlineStr">
        <is>
          <t>PRJ15-A</t>
        </is>
      </c>
      <c r="B20" s="2" t="inlineStr">
        <is>
          <t>PRJ15</t>
        </is>
      </c>
      <c r="C20" s="2" t="n">
        <v>220</v>
      </c>
      <c r="D20" s="2" t="n">
        <v>130</v>
      </c>
      <c r="E20" s="2" t="n">
        <v>115</v>
      </c>
      <c r="F20" s="2" t="inlineStr">
        <is>
          <t>matrix</t>
        </is>
      </c>
      <c r="G20" s="2" t="inlineStr"/>
      <c r="H20" s="2" t="inlineStr"/>
      <c r="I20" s="2" t="inlineStr"/>
      <c r="J20" s="3" t="n"/>
      <c r="K20" s="3" t="n"/>
      <c r="L20" s="3" t="n"/>
      <c r="M20" s="3" t="n"/>
      <c r="N20" s="3" t="n"/>
      <c r="O20" s="3" t="n"/>
      <c r="P20" s="3" t="inlineStr">
        <is>
          <t>Pure</t>
        </is>
      </c>
      <c r="Q20" s="3" t="n">
        <v>0</v>
      </c>
      <c r="R20" s="4">
        <f>IF(AND(K20="",L20=""),"",IF(OR(K20="",L20=""),MAX(K20,L20),IF(ABS(K20-L20)&lt;=Settings!$B$7,ROUND(AVERAGE(K20,L20),2),"")))</f>
        <v/>
      </c>
      <c r="S20" s="4">
        <f>IF(AND(M20="",N20=""),"",IF(OR(M20="",N20=""),MAX(M20,N20),IF(ABS(M20-N20)&lt;=Settings!$B$8,ROUND(AVERAGE(M20,N20),2),"")))</f>
        <v/>
      </c>
      <c r="T20" s="4">
        <f>IF(AND(K20&lt;&gt;"",L20&lt;&gt;"",ABS(K20-L20)&gt;Settings!$B$7),"CALIBRATE EC meters (differ "&amp;ROUND(ABS(K20-L20),2)&amp;")",IF(AND(M20&lt;&gt;"",N20&lt;&gt;"",ABS(M20-N20)&gt;Settings!$B$8),"CALIBRATE pH meters (differ "&amp;ROUND(ABS(M20-N20),2)&amp;")","OK"))</f>
        <v/>
      </c>
      <c r="U20" s="4">
        <f>IF(J20="","",IF(J20&gt;=E20,"no — level ≥ "&amp;E20,IF(F20="morning",IF(OR(Settings!$B$2="08:00",J20&lt;G20),"yes","no — not morning and ≥ "&amp;G20&amp;" cm"),IF(F20="below",IF(J20&lt;G20,"yes","no — ≥ "&amp;G20&amp;" cm"),"yes"))))</f>
        <v/>
      </c>
      <c r="V20" s="4">
        <f>IF(U20="yes",MAX(0,ROUND(E20-J20,0)),0)</f>
        <v/>
      </c>
      <c r="W20" s="4">
        <f>IF(V20&gt;0,ROUND(C20*D20*V20/1000,0),0)</f>
        <v/>
      </c>
      <c r="X20" s="4">
        <f>IF(OR(T20&lt;&gt;"OK",V20&lt;=0,R20=""),0,ROUND(IFERROR(INDEX(Matrix!$B$2:$AW$19,MATCH(TEXT(MAX(1.5,MROUND(R20,0.05)),"0.00"),Matrix!$A$2:$A$19,0),MATCH(MIN(48,MAX(1,V20)),Matrix!$B$1:$AW$1,0)),0)*1.0*IF(Q20="Pure",1,IF(Q20="Over-tank",MAX(0,1-Settings!$B$4/Settings!$B$10),MAX(0,1-Settings!$B$4/Settings!$B$10*P20/100)))/1000,2))</f>
        <v/>
      </c>
      <c r="Y20" s="4">
        <f>X20</f>
        <v/>
      </c>
      <c r="Z20" s="4">
        <f>IF(OR(T20&lt;&gt;"OK",V20&lt;=0),0,ROUND(V20*Settings!$B$5*IF(S20="",1,MAX(0.5,MIN(2,1+(S20-Settings!$B$6)))),0))</f>
        <v/>
      </c>
      <c r="AA20" s="4">
        <f>IF(T20&lt;&gt;"OK","⚠ "&amp;T20&amp;" — re-measure, no dose until the two meters agree",IF(J20="","— no reading —",IF(U20&lt;&gt;"yes",U20&amp;" — add nothing"&amp;IF(AND(O20&lt;&gt;"",O20&gt;Settings!$B$9)," · ⚠ water hot ("&amp;O20&amp;" °C)",""),"Fill to "&amp;E20&amp;" cm: add "&amp;W20&amp;" L "&amp;LOWER(Q20)&amp;" water · A "&amp;X20&amp;" L · B "&amp;Y20&amp;" L"&amp;IF(Z20&gt;0," · C "&amp;Z20&amp;" cc","")&amp;IF(AND("P15A"="P10",R20&lt;&gt;"",R20&lt;Settings!$B$3)," · EC "&amp;R20&amp;" &lt; 1.7: add 1 L more A and B after mixing, re-check, until ≈ 1.7","")&amp;IF(AND(O20&lt;&gt;"",O20&gt;Settings!$B$9)," · ⚠ water hot ("&amp;O20&amp;" °C)",""))))</f>
        <v/>
      </c>
    </row>
    <row r="21">
      <c r="A21" s="2" t="inlineStr">
        <is>
          <t>PRJ15-B</t>
        </is>
      </c>
      <c r="B21" s="2" t="inlineStr">
        <is>
          <t>PRJ15</t>
        </is>
      </c>
      <c r="C21" s="2" t="n">
        <v>220</v>
      </c>
      <c r="D21" s="2" t="n">
        <v>130</v>
      </c>
      <c r="E21" s="2" t="n">
        <v>115</v>
      </c>
      <c r="F21" s="2" t="inlineStr">
        <is>
          <t>matrix</t>
        </is>
      </c>
      <c r="G21" s="2" t="inlineStr"/>
      <c r="H21" s="2" t="inlineStr"/>
      <c r="I21" s="2" t="inlineStr"/>
      <c r="J21" s="3" t="n"/>
      <c r="K21" s="3" t="n"/>
      <c r="L21" s="3" t="n"/>
      <c r="M21" s="3" t="n"/>
      <c r="N21" s="3" t="n"/>
      <c r="O21" s="3" t="n"/>
      <c r="P21" s="3" t="inlineStr">
        <is>
          <t>Pure</t>
        </is>
      </c>
      <c r="Q21" s="3" t="n">
        <v>0</v>
      </c>
      <c r="R21" s="4">
        <f>IF(AND(K21="",L21=""),"",IF(OR(K21="",L21=""),MAX(K21,L21),IF(ABS(K21-L21)&lt;=Settings!$B$7,ROUND(AVERAGE(K21,L21),2),"")))</f>
        <v/>
      </c>
      <c r="S21" s="4">
        <f>IF(AND(M21="",N21=""),"",IF(OR(M21="",N21=""),MAX(M21,N21),IF(ABS(M21-N21)&lt;=Settings!$B$8,ROUND(AVERAGE(M21,N21),2),"")))</f>
        <v/>
      </c>
      <c r="T21" s="4">
        <f>IF(AND(K21&lt;&gt;"",L21&lt;&gt;"",ABS(K21-L21)&gt;Settings!$B$7),"CALIBRATE EC meters (differ "&amp;ROUND(ABS(K21-L21),2)&amp;")",IF(AND(M21&lt;&gt;"",N21&lt;&gt;"",ABS(M21-N21)&gt;Settings!$B$8),"CALIBRATE pH meters (differ "&amp;ROUND(ABS(M21-N21),2)&amp;")","OK"))</f>
        <v/>
      </c>
      <c r="U21" s="4">
        <f>IF(J21="","",IF(J21&gt;=E21,"no — level ≥ "&amp;E21,IF(F21="morning",IF(OR(Settings!$B$2="08:00",J21&lt;G21),"yes","no — not morning and ≥ "&amp;G21&amp;" cm"),IF(F21="below",IF(J21&lt;G21,"yes","no — ≥ "&amp;G21&amp;" cm"),"yes"))))</f>
        <v/>
      </c>
      <c r="V21" s="4">
        <f>IF(U21="yes",MAX(0,ROUND(E21-J21,0)),0)</f>
        <v/>
      </c>
      <c r="W21" s="4">
        <f>IF(V21&gt;0,ROUND(C21*D21*V21/1000,0),0)</f>
        <v/>
      </c>
      <c r="X21" s="4">
        <f>IF(OR(T21&lt;&gt;"OK",V21&lt;=0,R21=""),0,ROUND(IFERROR(INDEX(Matrix!$B$2:$AW$19,MATCH(TEXT(MAX(1.5,MROUND(R21,0.05)),"0.00"),Matrix!$A$2:$A$19,0),MATCH(MIN(48,MAX(1,V21)),Matrix!$B$1:$AW$1,0)),0)*1.0*IF(Q21="Pure",1,IF(Q21="Over-tank",MAX(0,1-Settings!$B$4/Settings!$B$10),MAX(0,1-Settings!$B$4/Settings!$B$10*P21/100)))/1000,2))</f>
        <v/>
      </c>
      <c r="Y21" s="4">
        <f>X21</f>
        <v/>
      </c>
      <c r="Z21" s="4">
        <f>IF(OR(T21&lt;&gt;"OK",V21&lt;=0),0,ROUND(V21*Settings!$B$5*IF(S21="",1,MAX(0.5,MIN(2,1+(S21-Settings!$B$6)))),0))</f>
        <v/>
      </c>
      <c r="AA21" s="4">
        <f>IF(T21&lt;&gt;"OK","⚠ "&amp;T21&amp;" — re-measure, no dose until the two meters agree",IF(J21="","— no reading —",IF(U21&lt;&gt;"yes",U21&amp;" — add nothing"&amp;IF(AND(O21&lt;&gt;"",O21&gt;Settings!$B$9)," · ⚠ water hot ("&amp;O21&amp;" °C)",""),"Fill to "&amp;E21&amp;" cm: add "&amp;W21&amp;" L "&amp;LOWER(Q21)&amp;" water · A "&amp;X21&amp;" L · B "&amp;Y21&amp;" L"&amp;IF(Z21&gt;0," · C "&amp;Z21&amp;" cc","")&amp;IF(AND("P15B"="P10",R21&lt;&gt;"",R21&lt;Settings!$B$3)," · EC "&amp;R21&amp;" &lt; 1.7: add 1 L more A and B after mixing, re-check, until ≈ 1.7","")&amp;IF(AND(O21&lt;&gt;"",O21&gt;Settings!$B$9)," · ⚠ water hot ("&amp;O21&amp;" °C)",""))))</f>
        <v/>
      </c>
    </row>
    <row r="22">
      <c r="A22" s="2" t="inlineStr">
        <is>
          <t>PRJ15-C</t>
        </is>
      </c>
      <c r="B22" s="2" t="inlineStr">
        <is>
          <t>PRJ15</t>
        </is>
      </c>
      <c r="C22" s="2" t="n">
        <v>220</v>
      </c>
      <c r="D22" s="2" t="n">
        <v>130</v>
      </c>
      <c r="E22" s="2" t="n">
        <v>115</v>
      </c>
      <c r="F22" s="2" t="inlineStr">
        <is>
          <t>matrix</t>
        </is>
      </c>
      <c r="G22" s="2" t="inlineStr"/>
      <c r="H22" s="2" t="inlineStr"/>
      <c r="I22" s="2" t="inlineStr"/>
      <c r="J22" s="3" t="n"/>
      <c r="K22" s="3" t="n"/>
      <c r="L22" s="3" t="n"/>
      <c r="M22" s="3" t="n"/>
      <c r="N22" s="3" t="n"/>
      <c r="O22" s="3" t="n"/>
      <c r="P22" s="3" t="inlineStr">
        <is>
          <t>Pure</t>
        </is>
      </c>
      <c r="Q22" s="3" t="n">
        <v>0</v>
      </c>
      <c r="R22" s="4">
        <f>IF(AND(K22="",L22=""),"",IF(OR(K22="",L22=""),MAX(K22,L22),IF(ABS(K22-L22)&lt;=Settings!$B$7,ROUND(AVERAGE(K22,L22),2),"")))</f>
        <v/>
      </c>
      <c r="S22" s="4">
        <f>IF(AND(M22="",N22=""),"",IF(OR(M22="",N22=""),MAX(M22,N22),IF(ABS(M22-N22)&lt;=Settings!$B$8,ROUND(AVERAGE(M22,N22),2),"")))</f>
        <v/>
      </c>
      <c r="T22" s="4">
        <f>IF(AND(K22&lt;&gt;"",L22&lt;&gt;"",ABS(K22-L22)&gt;Settings!$B$7),"CALIBRATE EC meters (differ "&amp;ROUND(ABS(K22-L22),2)&amp;")",IF(AND(M22&lt;&gt;"",N22&lt;&gt;"",ABS(M22-N22)&gt;Settings!$B$8),"CALIBRATE pH meters (differ "&amp;ROUND(ABS(M22-N22),2)&amp;")","OK"))</f>
        <v/>
      </c>
      <c r="U22" s="4">
        <f>IF(J22="","",IF(J22&gt;=E22,"no — level ≥ "&amp;E22,IF(F22="morning",IF(OR(Settings!$B$2="08:00",J22&lt;G22),"yes","no — not morning and ≥ "&amp;G22&amp;" cm"),IF(F22="below",IF(J22&lt;G22,"yes","no — ≥ "&amp;G22&amp;" cm"),"yes"))))</f>
        <v/>
      </c>
      <c r="V22" s="4">
        <f>IF(U22="yes",MAX(0,ROUND(E22-J22,0)),0)</f>
        <v/>
      </c>
      <c r="W22" s="4">
        <f>IF(V22&gt;0,ROUND(C22*D22*V22/1000,0),0)</f>
        <v/>
      </c>
      <c r="X22" s="4">
        <f>IF(OR(T22&lt;&gt;"OK",V22&lt;=0,R22=""),0,ROUND(IFERROR(INDEX(Matrix!$B$2:$AW$19,MATCH(TEXT(MAX(1.5,MROUND(R22,0.05)),"0.00"),Matrix!$A$2:$A$19,0),MATCH(MIN(48,MAX(1,V22)),Matrix!$B$1:$AW$1,0)),0)*1.0*IF(Q22="Pure",1,IF(Q22="Over-tank",MAX(0,1-Settings!$B$4/Settings!$B$10),MAX(0,1-Settings!$B$4/Settings!$B$10*P22/100)))/1000,2))</f>
        <v/>
      </c>
      <c r="Y22" s="4">
        <f>X22</f>
        <v/>
      </c>
      <c r="Z22" s="4">
        <f>IF(OR(T22&lt;&gt;"OK",V22&lt;=0),0,ROUND(V22*Settings!$B$5*IF(S22="",1,MAX(0.5,MIN(2,1+(S22-Settings!$B$6)))),0))</f>
        <v/>
      </c>
      <c r="AA22" s="4">
        <f>IF(T22&lt;&gt;"OK","⚠ "&amp;T22&amp;" — re-measure, no dose until the two meters agree",IF(J22="","— no reading —",IF(U22&lt;&gt;"yes",U22&amp;" — add nothing"&amp;IF(AND(O22&lt;&gt;"",O22&gt;Settings!$B$9)," · ⚠ water hot ("&amp;O22&amp;" °C)",""),"Fill to "&amp;E22&amp;" cm: add "&amp;W22&amp;" L "&amp;LOWER(Q22)&amp;" water · A "&amp;X22&amp;" L · B "&amp;Y22&amp;" L"&amp;IF(Z22&gt;0," · C "&amp;Z22&amp;" cc","")&amp;IF(AND("P15C"="P10",R22&lt;&gt;"",R22&lt;Settings!$B$3)," · EC "&amp;R22&amp;" &lt; 1.7: add 1 L more A and B after mixing, re-check, until ≈ 1.7","")&amp;IF(AND(O22&lt;&gt;"",O22&gt;Settings!$B$9)," · ⚠ water hot ("&amp;O22&amp;" °C)",""))))</f>
        <v/>
      </c>
    </row>
    <row r="23">
      <c r="A23" s="2" t="inlineStr">
        <is>
          <t>PRJ16-A</t>
        </is>
      </c>
      <c r="B23" s="2" t="inlineStr">
        <is>
          <t>PRJ16</t>
        </is>
      </c>
      <c r="C23" s="2" t="n">
        <v>220</v>
      </c>
      <c r="D23" s="2" t="n">
        <v>130</v>
      </c>
      <c r="E23" s="2" t="n">
        <v>115</v>
      </c>
      <c r="F23" s="2" t="inlineStr">
        <is>
          <t>matrix</t>
        </is>
      </c>
      <c r="G23" s="2" t="inlineStr"/>
      <c r="H23" s="2" t="inlineStr"/>
      <c r="I23" s="2" t="inlineStr"/>
      <c r="J23" s="3" t="n"/>
      <c r="K23" s="3" t="n"/>
      <c r="L23" s="3" t="n"/>
      <c r="M23" s="3" t="n"/>
      <c r="N23" s="3" t="n"/>
      <c r="O23" s="3" t="n"/>
      <c r="P23" s="3" t="inlineStr">
        <is>
          <t>Pure</t>
        </is>
      </c>
      <c r="Q23" s="3" t="n">
        <v>0</v>
      </c>
      <c r="R23" s="4">
        <f>IF(AND(K23="",L23=""),"",IF(OR(K23="",L23=""),MAX(K23,L23),IF(ABS(K23-L23)&lt;=Settings!$B$7,ROUND(AVERAGE(K23,L23),2),"")))</f>
        <v/>
      </c>
      <c r="S23" s="4">
        <f>IF(AND(M23="",N23=""),"",IF(OR(M23="",N23=""),MAX(M23,N23),IF(ABS(M23-N23)&lt;=Settings!$B$8,ROUND(AVERAGE(M23,N23),2),"")))</f>
        <v/>
      </c>
      <c r="T23" s="4">
        <f>IF(AND(K23&lt;&gt;"",L23&lt;&gt;"",ABS(K23-L23)&gt;Settings!$B$7),"CALIBRATE EC meters (differ "&amp;ROUND(ABS(K23-L23),2)&amp;")",IF(AND(M23&lt;&gt;"",N23&lt;&gt;"",ABS(M23-N23)&gt;Settings!$B$8),"CALIBRATE pH meters (differ "&amp;ROUND(ABS(M23-N23),2)&amp;")","OK"))</f>
        <v/>
      </c>
      <c r="U23" s="4">
        <f>IF(J23="","",IF(J23&gt;=E23,"no — level ≥ "&amp;E23,IF(F23="morning",IF(OR(Settings!$B$2="08:00",J23&lt;G23),"yes","no — not morning and ≥ "&amp;G23&amp;" cm"),IF(F23="below",IF(J23&lt;G23,"yes","no — ≥ "&amp;G23&amp;" cm"),"yes"))))</f>
        <v/>
      </c>
      <c r="V23" s="4">
        <f>IF(U23="yes",MAX(0,ROUND(E23-J23,0)),0)</f>
        <v/>
      </c>
      <c r="W23" s="4">
        <f>IF(V23&gt;0,ROUND(C23*D23*V23/1000,0),0)</f>
        <v/>
      </c>
      <c r="X23" s="4">
        <f>IF(OR(T23&lt;&gt;"OK",V23&lt;=0,R23=""),0,ROUND(IFERROR(INDEX(Matrix!$B$2:$AW$19,MATCH(TEXT(MAX(1.5,MROUND(R23,0.05)),"0.00"),Matrix!$A$2:$A$19,0),MATCH(MIN(48,MAX(1,V23)),Matrix!$B$1:$AW$1,0)),0)*1.0*IF(Q23="Pure",1,IF(Q23="Over-tank",MAX(0,1-Settings!$B$4/Settings!$B$10),MAX(0,1-Settings!$B$4/Settings!$B$10*P23/100)))/1000,2))</f>
        <v/>
      </c>
      <c r="Y23" s="4">
        <f>X23</f>
        <v/>
      </c>
      <c r="Z23" s="4">
        <f>IF(OR(T23&lt;&gt;"OK",V23&lt;=0),0,ROUND(V23*Settings!$B$5*IF(S23="",1,MAX(0.5,MIN(2,1+(S23-Settings!$B$6)))),0))</f>
        <v/>
      </c>
      <c r="AA23" s="4">
        <f>IF(T23&lt;&gt;"OK","⚠ "&amp;T23&amp;" — re-measure, no dose until the two meters agree",IF(J23="","— no reading —",IF(U23&lt;&gt;"yes",U23&amp;" — add nothing"&amp;IF(AND(O23&lt;&gt;"",O23&gt;Settings!$B$9)," · ⚠ water hot ("&amp;O23&amp;" °C)",""),"Fill to "&amp;E23&amp;" cm: add "&amp;W23&amp;" L "&amp;LOWER(Q23)&amp;" water · A "&amp;X23&amp;" L · B "&amp;Y23&amp;" L"&amp;IF(Z23&gt;0," · C "&amp;Z23&amp;" cc","")&amp;IF(AND("P16A"="P10",R23&lt;&gt;"",R23&lt;Settings!$B$3)," · EC "&amp;R23&amp;" &lt; 1.7: add 1 L more A and B after mixing, re-check, until ≈ 1.7","")&amp;IF(AND(O23&lt;&gt;"",O23&gt;Settings!$B$9)," · ⚠ water hot ("&amp;O23&amp;" °C)",""))))</f>
        <v/>
      </c>
    </row>
    <row r="24">
      <c r="A24" s="2" t="inlineStr">
        <is>
          <t>PRJ16-B</t>
        </is>
      </c>
      <c r="B24" s="2" t="inlineStr">
        <is>
          <t>PRJ16</t>
        </is>
      </c>
      <c r="C24" s="2" t="n">
        <v>220</v>
      </c>
      <c r="D24" s="2" t="n">
        <v>130</v>
      </c>
      <c r="E24" s="2" t="n">
        <v>115</v>
      </c>
      <c r="F24" s="2" t="inlineStr">
        <is>
          <t>matrix</t>
        </is>
      </c>
      <c r="G24" s="2" t="inlineStr"/>
      <c r="H24" s="2" t="inlineStr"/>
      <c r="I24" s="2" t="inlineStr"/>
      <c r="J24" s="3" t="n"/>
      <c r="K24" s="3" t="n"/>
      <c r="L24" s="3" t="n"/>
      <c r="M24" s="3" t="n"/>
      <c r="N24" s="3" t="n"/>
      <c r="O24" s="3" t="n"/>
      <c r="P24" s="3" t="inlineStr">
        <is>
          <t>Pure</t>
        </is>
      </c>
      <c r="Q24" s="3" t="n">
        <v>0</v>
      </c>
      <c r="R24" s="4">
        <f>IF(AND(K24="",L24=""),"",IF(OR(K24="",L24=""),MAX(K24,L24),IF(ABS(K24-L24)&lt;=Settings!$B$7,ROUND(AVERAGE(K24,L24),2),"")))</f>
        <v/>
      </c>
      <c r="S24" s="4">
        <f>IF(AND(M24="",N24=""),"",IF(OR(M24="",N24=""),MAX(M24,N24),IF(ABS(M24-N24)&lt;=Settings!$B$8,ROUND(AVERAGE(M24,N24),2),"")))</f>
        <v/>
      </c>
      <c r="T24" s="4">
        <f>IF(AND(K24&lt;&gt;"",L24&lt;&gt;"",ABS(K24-L24)&gt;Settings!$B$7),"CALIBRATE EC meters (differ "&amp;ROUND(ABS(K24-L24),2)&amp;")",IF(AND(M24&lt;&gt;"",N24&lt;&gt;"",ABS(M24-N24)&gt;Settings!$B$8),"CALIBRATE pH meters (differ "&amp;ROUND(ABS(M24-N24),2)&amp;")","OK"))</f>
        <v/>
      </c>
      <c r="U24" s="4">
        <f>IF(J24="","",IF(J24&gt;=E24,"no — level ≥ "&amp;E24,IF(F24="morning",IF(OR(Settings!$B$2="08:00",J24&lt;G24),"yes","no — not morning and ≥ "&amp;G24&amp;" cm"),IF(F24="below",IF(J24&lt;G24,"yes","no — ≥ "&amp;G24&amp;" cm"),"yes"))))</f>
        <v/>
      </c>
      <c r="V24" s="4">
        <f>IF(U24="yes",MAX(0,ROUND(E24-J24,0)),0)</f>
        <v/>
      </c>
      <c r="W24" s="4">
        <f>IF(V24&gt;0,ROUND(C24*D24*V24/1000,0),0)</f>
        <v/>
      </c>
      <c r="X24" s="4">
        <f>IF(OR(T24&lt;&gt;"OK",V24&lt;=0,R24=""),0,ROUND(IFERROR(INDEX(Matrix!$B$2:$AW$19,MATCH(TEXT(MAX(1.5,MROUND(R24,0.05)),"0.00"),Matrix!$A$2:$A$19,0),MATCH(MIN(48,MAX(1,V24)),Matrix!$B$1:$AW$1,0)),0)*1.0*IF(Q24="Pure",1,IF(Q24="Over-tank",MAX(0,1-Settings!$B$4/Settings!$B$10),MAX(0,1-Settings!$B$4/Settings!$B$10*P24/100)))/1000,2))</f>
        <v/>
      </c>
      <c r="Y24" s="4">
        <f>X24</f>
        <v/>
      </c>
      <c r="Z24" s="4">
        <f>IF(OR(T24&lt;&gt;"OK",V24&lt;=0),0,ROUND(V24*Settings!$B$5*IF(S24="",1,MAX(0.5,MIN(2,1+(S24-Settings!$B$6)))),0))</f>
        <v/>
      </c>
      <c r="AA24" s="4">
        <f>IF(T24&lt;&gt;"OK","⚠ "&amp;T24&amp;" — re-measure, no dose until the two meters agree",IF(J24="","— no reading —",IF(U24&lt;&gt;"yes",U24&amp;" — add nothing"&amp;IF(AND(O24&lt;&gt;"",O24&gt;Settings!$B$9)," · ⚠ water hot ("&amp;O24&amp;" °C)",""),"Fill to "&amp;E24&amp;" cm: add "&amp;W24&amp;" L "&amp;LOWER(Q24)&amp;" water · A "&amp;X24&amp;" L · B "&amp;Y24&amp;" L"&amp;IF(Z24&gt;0," · C "&amp;Z24&amp;" cc","")&amp;IF(AND("P16B"="P10",R24&lt;&gt;"",R24&lt;Settings!$B$3)," · EC "&amp;R24&amp;" &lt; 1.7: add 1 L more A and B after mixing, re-check, until ≈ 1.7","")&amp;IF(AND(O24&lt;&gt;"",O24&gt;Settings!$B$9)," · ⚠ water hot ("&amp;O24&amp;" °C)",""))))</f>
        <v/>
      </c>
    </row>
    <row r="25">
      <c r="A25" s="2" t="inlineStr">
        <is>
          <t>PRJ16-C</t>
        </is>
      </c>
      <c r="B25" s="2" t="inlineStr">
        <is>
          <t>PRJ16</t>
        </is>
      </c>
      <c r="C25" s="2" t="n">
        <v>220</v>
      </c>
      <c r="D25" s="2" t="n">
        <v>130</v>
      </c>
      <c r="E25" s="2" t="n">
        <v>115</v>
      </c>
      <c r="F25" s="2" t="inlineStr">
        <is>
          <t>matrix</t>
        </is>
      </c>
      <c r="G25" s="2" t="inlineStr"/>
      <c r="H25" s="2" t="inlineStr"/>
      <c r="I25" s="2" t="inlineStr"/>
      <c r="J25" s="3" t="n"/>
      <c r="K25" s="3" t="n"/>
      <c r="L25" s="3" t="n"/>
      <c r="M25" s="3" t="n"/>
      <c r="N25" s="3" t="n"/>
      <c r="O25" s="3" t="n"/>
      <c r="P25" s="3" t="inlineStr">
        <is>
          <t>Pure</t>
        </is>
      </c>
      <c r="Q25" s="3" t="n">
        <v>0</v>
      </c>
      <c r="R25" s="4">
        <f>IF(AND(K25="",L25=""),"",IF(OR(K25="",L25=""),MAX(K25,L25),IF(ABS(K25-L25)&lt;=Settings!$B$7,ROUND(AVERAGE(K25,L25),2),"")))</f>
        <v/>
      </c>
      <c r="S25" s="4">
        <f>IF(AND(M25="",N25=""),"",IF(OR(M25="",N25=""),MAX(M25,N25),IF(ABS(M25-N25)&lt;=Settings!$B$8,ROUND(AVERAGE(M25,N25),2),"")))</f>
        <v/>
      </c>
      <c r="T25" s="4">
        <f>IF(AND(K25&lt;&gt;"",L25&lt;&gt;"",ABS(K25-L25)&gt;Settings!$B$7),"CALIBRATE EC meters (differ "&amp;ROUND(ABS(K25-L25),2)&amp;")",IF(AND(M25&lt;&gt;"",N25&lt;&gt;"",ABS(M25-N25)&gt;Settings!$B$8),"CALIBRATE pH meters (differ "&amp;ROUND(ABS(M25-N25),2)&amp;")","OK"))</f>
        <v/>
      </c>
      <c r="U25" s="4">
        <f>IF(J25="","",IF(J25&gt;=E25,"no — level ≥ "&amp;E25,IF(F25="morning",IF(OR(Settings!$B$2="08:00",J25&lt;G25),"yes","no — not morning and ≥ "&amp;G25&amp;" cm"),IF(F25="below",IF(J25&lt;G25,"yes","no — ≥ "&amp;G25&amp;" cm"),"yes"))))</f>
        <v/>
      </c>
      <c r="V25" s="4">
        <f>IF(U25="yes",MAX(0,ROUND(E25-J25,0)),0)</f>
        <v/>
      </c>
      <c r="W25" s="4">
        <f>IF(V25&gt;0,ROUND(C25*D25*V25/1000,0),0)</f>
        <v/>
      </c>
      <c r="X25" s="4">
        <f>IF(OR(T25&lt;&gt;"OK",V25&lt;=0,R25=""),0,ROUND(IFERROR(INDEX(Matrix!$B$2:$AW$19,MATCH(TEXT(MAX(1.5,MROUND(R25,0.05)),"0.00"),Matrix!$A$2:$A$19,0),MATCH(MIN(48,MAX(1,V25)),Matrix!$B$1:$AW$1,0)),0)*1.0*IF(Q25="Pure",1,IF(Q25="Over-tank",MAX(0,1-Settings!$B$4/Settings!$B$10),MAX(0,1-Settings!$B$4/Settings!$B$10*P25/100)))/1000,2))</f>
        <v/>
      </c>
      <c r="Y25" s="4">
        <f>X25</f>
        <v/>
      </c>
      <c r="Z25" s="4">
        <f>IF(OR(T25&lt;&gt;"OK",V25&lt;=0),0,ROUND(V25*Settings!$B$5*IF(S25="",1,MAX(0.5,MIN(2,1+(S25-Settings!$B$6)))),0))</f>
        <v/>
      </c>
      <c r="AA25" s="4">
        <f>IF(T25&lt;&gt;"OK","⚠ "&amp;T25&amp;" — re-measure, no dose until the two meters agree",IF(J25="","— no reading —",IF(U25&lt;&gt;"yes",U25&amp;" — add nothing"&amp;IF(AND(O25&lt;&gt;"",O25&gt;Settings!$B$9)," · ⚠ water hot ("&amp;O25&amp;" °C)",""),"Fill to "&amp;E25&amp;" cm: add "&amp;W25&amp;" L "&amp;LOWER(Q25)&amp;" water · A "&amp;X25&amp;" L · B "&amp;Y25&amp;" L"&amp;IF(Z25&gt;0," · C "&amp;Z25&amp;" cc","")&amp;IF(AND("P16C"="P10",R25&lt;&gt;"",R25&lt;Settings!$B$3)," · EC "&amp;R25&amp;" &lt; 1.7: add 1 L more A and B after mixing, re-check, until ≈ 1.7","")&amp;IF(AND(O25&lt;&gt;"",O25&gt;Settings!$B$9)," · ⚠ water hot ("&amp;O25&amp;" °C)",""))))</f>
        <v/>
      </c>
    </row>
    <row r="27">
      <c r="A27" s="5" t="inlineStr">
        <is>
          <t>Yellow = Reven types. Green = Nexi's answer. Set the round on Settings (08:00 = morning). GH1–GH10 follow Eyal's fill rules; PRJ pools use the EC matrix. Same logic as Nexi v21.71 Pool Monitoring.</t>
        </is>
      </c>
    </row>
  </sheetData>
  <dataValidations count="1">
    <dataValidation sqref="P2 P3 P4 P5 P6 P7 P8 P9 P10 P11 P12 P13 P14 P15 P16 P17 P18 P19 P20 P21 P22 P23 P24 P25" showDropDown="0" showInputMessage="0" showErrorMessage="0" allowBlank="1" type="list">
      <formula1>"Pure,Over-tank,Mix"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EC \ cm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  <c r="AG1" s="6" t="n">
        <v>32</v>
      </c>
      <c r="AH1" s="6" t="n">
        <v>33</v>
      </c>
      <c r="AI1" s="6" t="n">
        <v>34</v>
      </c>
      <c r="AJ1" s="6" t="n">
        <v>35</v>
      </c>
      <c r="AK1" s="6" t="n">
        <v>36</v>
      </c>
      <c r="AL1" s="6" t="n">
        <v>37</v>
      </c>
      <c r="AM1" s="6" t="n">
        <v>38</v>
      </c>
      <c r="AN1" s="6" t="n">
        <v>39</v>
      </c>
      <c r="AO1" s="6" t="n">
        <v>40</v>
      </c>
      <c r="AP1" s="6" t="n">
        <v>41</v>
      </c>
      <c r="AQ1" s="6" t="n">
        <v>42</v>
      </c>
      <c r="AR1" s="6" t="n">
        <v>43</v>
      </c>
      <c r="AS1" s="6" t="n">
        <v>44</v>
      </c>
      <c r="AT1" s="6" t="n">
        <v>45</v>
      </c>
      <c r="AU1" s="6" t="n">
        <v>46</v>
      </c>
      <c r="AV1" s="6" t="n">
        <v>47</v>
      </c>
      <c r="AW1" s="6" t="n">
        <v>48</v>
      </c>
    </row>
    <row r="2">
      <c r="A2" t="inlineStr">
        <is>
          <t>2.35</t>
        </is>
      </c>
      <c r="AU2" t="n">
        <v>600</v>
      </c>
      <c r="AV2" t="n">
        <v>900</v>
      </c>
      <c r="AW2" t="n">
        <v>1200</v>
      </c>
    </row>
    <row r="3">
      <c r="A3" t="inlineStr">
        <is>
          <t>2.30</t>
        </is>
      </c>
      <c r="AP3" t="n">
        <v>550</v>
      </c>
      <c r="AQ3" t="n">
        <v>825</v>
      </c>
      <c r="AR3" t="n">
        <v>1100</v>
      </c>
      <c r="AS3" t="n">
        <v>1375</v>
      </c>
      <c r="AT3" t="n">
        <v>1650</v>
      </c>
      <c r="AU3" t="n">
        <v>1925</v>
      </c>
      <c r="AV3" t="n">
        <v>2200</v>
      </c>
      <c r="AW3" t="n">
        <v>2475</v>
      </c>
    </row>
    <row r="4">
      <c r="A4" t="inlineStr">
        <is>
          <t>2.25</t>
        </is>
      </c>
      <c r="AK4" t="n">
        <v>500</v>
      </c>
      <c r="AL4" t="n">
        <v>750</v>
      </c>
      <c r="AM4" t="n">
        <v>1000</v>
      </c>
      <c r="AN4" t="n">
        <v>1250</v>
      </c>
      <c r="AO4" t="n">
        <v>1500</v>
      </c>
      <c r="AP4" t="n">
        <v>1750</v>
      </c>
      <c r="AQ4" t="n">
        <v>2000</v>
      </c>
      <c r="AR4" t="n">
        <v>2250</v>
      </c>
      <c r="AS4" t="n">
        <v>2500</v>
      </c>
      <c r="AT4" t="n">
        <v>2750</v>
      </c>
      <c r="AU4" t="n">
        <v>3000</v>
      </c>
      <c r="AV4" t="n">
        <v>3250</v>
      </c>
      <c r="AW4" t="n">
        <v>3500</v>
      </c>
    </row>
    <row r="5">
      <c r="A5" t="inlineStr">
        <is>
          <t>2.20</t>
        </is>
      </c>
      <c r="AF5" t="n">
        <v>450</v>
      </c>
      <c r="AG5" t="n">
        <v>675</v>
      </c>
      <c r="AH5" t="n">
        <v>900</v>
      </c>
      <c r="AI5" t="n">
        <v>1125</v>
      </c>
      <c r="AJ5" t="n">
        <v>1350</v>
      </c>
      <c r="AK5" t="n">
        <v>1575</v>
      </c>
      <c r="AL5" t="n">
        <v>1800</v>
      </c>
      <c r="AM5" t="n">
        <v>2025</v>
      </c>
      <c r="AN5" t="n">
        <v>2250</v>
      </c>
      <c r="AO5" t="n">
        <v>2475</v>
      </c>
      <c r="AP5" t="n">
        <v>2700</v>
      </c>
      <c r="AQ5" t="n">
        <v>2925</v>
      </c>
      <c r="AR5" t="n">
        <v>3150</v>
      </c>
      <c r="AS5" t="n">
        <v>3375</v>
      </c>
      <c r="AT5" t="n">
        <v>3600</v>
      </c>
      <c r="AU5" t="n">
        <v>3825</v>
      </c>
      <c r="AV5" t="n">
        <v>4050</v>
      </c>
      <c r="AW5" t="n">
        <v>4275</v>
      </c>
    </row>
    <row r="6">
      <c r="A6" t="inlineStr">
        <is>
          <t>2.15</t>
        </is>
      </c>
      <c r="AA6" t="n">
        <v>400</v>
      </c>
      <c r="AB6" t="n">
        <v>600</v>
      </c>
      <c r="AC6" t="n">
        <v>800</v>
      </c>
      <c r="AD6" t="n">
        <v>1000</v>
      </c>
      <c r="AE6" t="n">
        <v>1200</v>
      </c>
      <c r="AF6" t="n">
        <v>1400</v>
      </c>
      <c r="AG6" t="n">
        <v>1600</v>
      </c>
      <c r="AH6" t="n">
        <v>1800</v>
      </c>
      <c r="AI6" t="n">
        <v>2000</v>
      </c>
      <c r="AJ6" t="n">
        <v>2200</v>
      </c>
      <c r="AK6" t="n">
        <v>2400</v>
      </c>
      <c r="AL6" t="n">
        <v>2600</v>
      </c>
      <c r="AM6" t="n">
        <v>2800</v>
      </c>
      <c r="AN6" t="n">
        <v>3000</v>
      </c>
      <c r="AO6" t="n">
        <v>3200</v>
      </c>
      <c r="AP6" t="n">
        <v>3400</v>
      </c>
      <c r="AQ6" t="n">
        <v>3600</v>
      </c>
      <c r="AR6" t="n">
        <v>3800</v>
      </c>
      <c r="AS6" t="n">
        <v>4000</v>
      </c>
      <c r="AT6" t="n">
        <v>4200</v>
      </c>
      <c r="AU6" t="n">
        <v>4400</v>
      </c>
      <c r="AV6" t="n">
        <v>4600</v>
      </c>
      <c r="AW6" t="n">
        <v>4800</v>
      </c>
    </row>
    <row r="7">
      <c r="A7" t="inlineStr">
        <is>
          <t>2.10</t>
        </is>
      </c>
      <c r="V7" t="n">
        <v>350</v>
      </c>
      <c r="W7" t="n">
        <v>525</v>
      </c>
      <c r="X7" t="n">
        <v>700</v>
      </c>
      <c r="Y7" t="n">
        <v>875</v>
      </c>
      <c r="Z7" t="n">
        <v>1050</v>
      </c>
      <c r="AA7" t="n">
        <v>1225</v>
      </c>
      <c r="AB7" t="n">
        <v>1400</v>
      </c>
      <c r="AC7" t="n">
        <v>1575</v>
      </c>
      <c r="AD7" t="n">
        <v>1750</v>
      </c>
      <c r="AE7" t="n">
        <v>1925</v>
      </c>
      <c r="AF7" t="n">
        <v>2100</v>
      </c>
      <c r="AG7" t="n">
        <v>2275</v>
      </c>
      <c r="AH7" t="n">
        <v>2450</v>
      </c>
      <c r="AI7" t="n">
        <v>2625</v>
      </c>
      <c r="AJ7" t="n">
        <v>2800</v>
      </c>
      <c r="AK7" t="n">
        <v>2975</v>
      </c>
      <c r="AL7" t="n">
        <v>3150</v>
      </c>
      <c r="AM7" t="n">
        <v>3325</v>
      </c>
      <c r="AN7" t="n">
        <v>3500</v>
      </c>
      <c r="AO7" t="n">
        <v>3675</v>
      </c>
      <c r="AP7" t="n">
        <v>3850</v>
      </c>
      <c r="AQ7" t="n">
        <v>4025</v>
      </c>
      <c r="AR7" t="n">
        <v>4200</v>
      </c>
      <c r="AS7" t="n">
        <v>4375</v>
      </c>
      <c r="AT7" t="n">
        <v>4550</v>
      </c>
      <c r="AU7" t="n">
        <v>4725</v>
      </c>
      <c r="AV7" t="n">
        <v>4900</v>
      </c>
      <c r="AW7" t="n">
        <v>5075</v>
      </c>
    </row>
    <row r="8">
      <c r="A8" t="inlineStr">
        <is>
          <t>2.05</t>
        </is>
      </c>
      <c r="Q8" t="n">
        <v>300</v>
      </c>
      <c r="R8" t="n">
        <v>450</v>
      </c>
      <c r="S8" t="n">
        <v>600</v>
      </c>
      <c r="T8" t="n">
        <v>750</v>
      </c>
      <c r="U8" t="n">
        <v>900</v>
      </c>
      <c r="V8" t="n">
        <v>1050</v>
      </c>
      <c r="W8" t="n">
        <v>1200</v>
      </c>
      <c r="X8" t="n">
        <v>1350</v>
      </c>
      <c r="Y8" t="n">
        <v>1500</v>
      </c>
      <c r="Z8" t="n">
        <v>1650</v>
      </c>
      <c r="AA8" t="n">
        <v>1800</v>
      </c>
      <c r="AB8" t="n">
        <v>1950</v>
      </c>
      <c r="AC8" t="n">
        <v>2100</v>
      </c>
      <c r="AD8" t="n">
        <v>2250</v>
      </c>
      <c r="AE8" t="n">
        <v>2400</v>
      </c>
      <c r="AF8" t="n">
        <v>2550</v>
      </c>
      <c r="AG8" t="n">
        <v>2700</v>
      </c>
      <c r="AH8" t="n">
        <v>2850</v>
      </c>
      <c r="AI8" t="n">
        <v>3000</v>
      </c>
      <c r="AJ8" t="n">
        <v>3150</v>
      </c>
      <c r="AK8" t="n">
        <v>3300</v>
      </c>
      <c r="AL8" t="n">
        <v>3450</v>
      </c>
      <c r="AM8" t="n">
        <v>3600</v>
      </c>
      <c r="AN8" t="n">
        <v>3750</v>
      </c>
      <c r="AO8" t="n">
        <v>3900</v>
      </c>
      <c r="AP8" t="n">
        <v>4050</v>
      </c>
      <c r="AQ8" t="n">
        <v>4200</v>
      </c>
      <c r="AR8" t="n">
        <v>4350</v>
      </c>
      <c r="AS8" t="n">
        <v>4500</v>
      </c>
      <c r="AT8" t="n">
        <v>4650</v>
      </c>
      <c r="AU8" t="n">
        <v>4800</v>
      </c>
      <c r="AV8" t="n">
        <v>4950</v>
      </c>
      <c r="AW8" t="n">
        <v>5100</v>
      </c>
    </row>
    <row r="9">
      <c r="A9" t="inlineStr">
        <is>
          <t>2.00</t>
        </is>
      </c>
      <c r="L9" t="n">
        <v>250</v>
      </c>
      <c r="M9" t="n">
        <v>375</v>
      </c>
      <c r="N9" t="n">
        <v>500</v>
      </c>
      <c r="O9" t="n">
        <v>625</v>
      </c>
      <c r="P9" t="n">
        <v>750</v>
      </c>
      <c r="Q9" t="n">
        <v>875</v>
      </c>
      <c r="R9" t="n">
        <v>1000</v>
      </c>
      <c r="S9" t="n">
        <v>1125</v>
      </c>
      <c r="T9" t="n">
        <v>1250</v>
      </c>
      <c r="U9" t="n">
        <v>1375</v>
      </c>
      <c r="V9" t="n">
        <v>1500</v>
      </c>
      <c r="W9" t="n">
        <v>1625</v>
      </c>
      <c r="X9" t="n">
        <v>1750</v>
      </c>
      <c r="Y9" t="n">
        <v>1875</v>
      </c>
      <c r="Z9" t="n">
        <v>2000</v>
      </c>
      <c r="AA9" t="n">
        <v>2125</v>
      </c>
      <c r="AB9" t="n">
        <v>2250</v>
      </c>
      <c r="AC9" t="n">
        <v>2375</v>
      </c>
      <c r="AD9" t="n">
        <v>2500</v>
      </c>
      <c r="AE9" t="n">
        <v>2625</v>
      </c>
      <c r="AF9" t="n">
        <v>2750</v>
      </c>
      <c r="AG9" t="n">
        <v>2875</v>
      </c>
      <c r="AH9" t="n">
        <v>3000</v>
      </c>
      <c r="AI9" t="n">
        <v>3125</v>
      </c>
      <c r="AJ9" t="n">
        <v>3250</v>
      </c>
      <c r="AK9" t="n">
        <v>3375</v>
      </c>
      <c r="AL9" t="n">
        <v>3500</v>
      </c>
      <c r="AM9" t="n">
        <v>3625</v>
      </c>
      <c r="AN9" t="n">
        <v>3750</v>
      </c>
      <c r="AO9" t="n">
        <v>3875</v>
      </c>
      <c r="AP9" t="n">
        <v>4000</v>
      </c>
      <c r="AQ9" t="n">
        <v>4125</v>
      </c>
      <c r="AR9" t="n">
        <v>4250</v>
      </c>
      <c r="AS9" t="n">
        <v>4375</v>
      </c>
      <c r="AT9" t="n">
        <v>4500</v>
      </c>
      <c r="AU9" t="n">
        <v>4625</v>
      </c>
      <c r="AV9" t="n">
        <v>4750</v>
      </c>
      <c r="AW9" t="n">
        <v>4875</v>
      </c>
    </row>
    <row r="10">
      <c r="A10" t="inlineStr">
        <is>
          <t>1.95</t>
        </is>
      </c>
      <c r="G10" t="n">
        <v>200</v>
      </c>
      <c r="H10" t="n">
        <v>300</v>
      </c>
      <c r="I10" t="n">
        <v>400</v>
      </c>
      <c r="J10" t="n">
        <v>800</v>
      </c>
      <c r="K10" t="n">
        <v>1000</v>
      </c>
      <c r="L10" t="n">
        <v>1200</v>
      </c>
      <c r="M10" t="n">
        <v>1400</v>
      </c>
      <c r="N10" t="n">
        <v>1600</v>
      </c>
      <c r="O10" t="n">
        <v>1800</v>
      </c>
      <c r="P10" t="n">
        <v>2000</v>
      </c>
      <c r="Q10" t="n">
        <v>2200</v>
      </c>
      <c r="R10" t="n">
        <v>2400</v>
      </c>
      <c r="S10" t="n">
        <v>2600</v>
      </c>
      <c r="T10" t="n">
        <v>2800</v>
      </c>
      <c r="U10" t="n">
        <v>3000</v>
      </c>
      <c r="V10" t="n">
        <v>3200</v>
      </c>
      <c r="W10" t="n">
        <v>3400</v>
      </c>
      <c r="X10" t="n">
        <v>3600</v>
      </c>
      <c r="Y10" t="n">
        <v>3800</v>
      </c>
      <c r="Z10" t="n">
        <v>4000</v>
      </c>
      <c r="AA10" t="n">
        <v>4200</v>
      </c>
      <c r="AB10" t="n">
        <v>4400</v>
      </c>
      <c r="AC10" t="n">
        <v>4600</v>
      </c>
      <c r="AD10" t="n">
        <v>4800</v>
      </c>
      <c r="AE10" t="n">
        <v>5000</v>
      </c>
      <c r="AF10" t="n">
        <v>5200</v>
      </c>
      <c r="AG10" t="n">
        <v>5400</v>
      </c>
      <c r="AH10" t="n">
        <v>5600</v>
      </c>
      <c r="AI10" t="n">
        <v>5800</v>
      </c>
      <c r="AJ10" t="n">
        <v>6000</v>
      </c>
      <c r="AK10" t="n">
        <v>6200</v>
      </c>
      <c r="AL10" t="n">
        <v>6400</v>
      </c>
      <c r="AM10" t="n">
        <v>6600</v>
      </c>
      <c r="AN10" t="n">
        <v>6800</v>
      </c>
      <c r="AO10" t="n">
        <v>7000</v>
      </c>
      <c r="AP10" t="n">
        <v>7200</v>
      </c>
      <c r="AQ10" t="n">
        <v>7400</v>
      </c>
      <c r="AR10" t="n">
        <v>7600</v>
      </c>
      <c r="AS10" t="n">
        <v>7800</v>
      </c>
      <c r="AT10" t="n">
        <v>8000</v>
      </c>
      <c r="AU10" t="n">
        <v>8200</v>
      </c>
      <c r="AV10" t="n">
        <v>8400</v>
      </c>
      <c r="AW10" t="n">
        <v>8600</v>
      </c>
    </row>
    <row r="11">
      <c r="A11" t="inlineStr">
        <is>
          <t>1.90</t>
        </is>
      </c>
      <c r="B11" t="n">
        <v>200</v>
      </c>
      <c r="C11" t="n">
        <v>300</v>
      </c>
      <c r="D11" t="n">
        <v>400</v>
      </c>
      <c r="E11" t="n">
        <v>800</v>
      </c>
      <c r="F11" t="n">
        <v>1000</v>
      </c>
      <c r="G11" t="n">
        <v>1200</v>
      </c>
      <c r="H11" t="n">
        <v>1400</v>
      </c>
      <c r="I11" t="n">
        <v>1600</v>
      </c>
      <c r="J11" t="n">
        <v>1800</v>
      </c>
      <c r="K11" t="n">
        <v>2000</v>
      </c>
      <c r="L11" t="n">
        <v>2200</v>
      </c>
      <c r="M11" t="n">
        <v>2400</v>
      </c>
      <c r="N11" t="n">
        <v>2600</v>
      </c>
      <c r="O11" t="n">
        <v>2800</v>
      </c>
      <c r="P11" t="n">
        <v>3000</v>
      </c>
      <c r="Q11" t="n">
        <v>3200</v>
      </c>
      <c r="R11" t="n">
        <v>3400</v>
      </c>
      <c r="S11" t="n">
        <v>3600</v>
      </c>
      <c r="T11" t="n">
        <v>3800</v>
      </c>
      <c r="U11" t="n">
        <v>4000</v>
      </c>
      <c r="V11" t="n">
        <v>4200</v>
      </c>
      <c r="W11" t="n">
        <v>4400</v>
      </c>
      <c r="X11" t="n">
        <v>4600</v>
      </c>
      <c r="Y11" t="n">
        <v>4800</v>
      </c>
      <c r="Z11" t="n">
        <v>5000</v>
      </c>
      <c r="AA11" t="n">
        <v>5200</v>
      </c>
      <c r="AB11" t="n">
        <v>5400</v>
      </c>
      <c r="AC11" t="n">
        <v>5600</v>
      </c>
      <c r="AD11" t="n">
        <v>5800</v>
      </c>
      <c r="AE11" t="n">
        <v>6000</v>
      </c>
      <c r="AF11" t="n">
        <v>6200</v>
      </c>
      <c r="AG11" t="n">
        <v>6400</v>
      </c>
      <c r="AH11" t="n">
        <v>6600</v>
      </c>
      <c r="AI11" t="n">
        <v>6800</v>
      </c>
      <c r="AJ11" t="n">
        <v>7000</v>
      </c>
      <c r="AK11" t="n">
        <v>7200</v>
      </c>
      <c r="AL11" t="n">
        <v>7400</v>
      </c>
      <c r="AM11" t="n">
        <v>7600</v>
      </c>
      <c r="AN11" t="n">
        <v>7800</v>
      </c>
      <c r="AO11" t="n">
        <v>8000</v>
      </c>
      <c r="AP11" t="n">
        <v>8200</v>
      </c>
      <c r="AQ11" t="n">
        <v>8400</v>
      </c>
      <c r="AR11" t="n">
        <v>8600</v>
      </c>
      <c r="AS11" t="n">
        <v>8800</v>
      </c>
      <c r="AT11" t="n">
        <v>9000</v>
      </c>
      <c r="AU11" t="n">
        <v>9200</v>
      </c>
      <c r="AV11" t="n">
        <v>9400</v>
      </c>
      <c r="AW11" t="n">
        <v>9600</v>
      </c>
    </row>
    <row r="12">
      <c r="A12" t="inlineStr">
        <is>
          <t>1.85</t>
        </is>
      </c>
      <c r="B12" t="n">
        <v>250</v>
      </c>
      <c r="C12" t="n">
        <v>375</v>
      </c>
      <c r="D12" t="n">
        <v>500</v>
      </c>
      <c r="E12" t="n">
        <v>625</v>
      </c>
      <c r="F12" t="n">
        <v>750</v>
      </c>
      <c r="G12" t="n">
        <v>875</v>
      </c>
      <c r="H12" t="n">
        <v>1000</v>
      </c>
      <c r="I12" t="n">
        <v>1125</v>
      </c>
      <c r="J12" t="n">
        <v>1250</v>
      </c>
      <c r="K12" t="n">
        <v>1375</v>
      </c>
      <c r="L12" t="n">
        <v>1500</v>
      </c>
      <c r="M12" t="n">
        <v>1625</v>
      </c>
      <c r="N12" t="n">
        <v>1750</v>
      </c>
      <c r="O12" t="n">
        <v>1875</v>
      </c>
      <c r="P12" t="n">
        <v>2000</v>
      </c>
      <c r="Q12" t="n">
        <v>2125</v>
      </c>
      <c r="R12" t="n">
        <v>2250</v>
      </c>
      <c r="S12" t="n">
        <v>2375</v>
      </c>
      <c r="T12" t="n">
        <v>2500</v>
      </c>
      <c r="U12" t="n">
        <v>2625</v>
      </c>
      <c r="V12" t="n">
        <v>2750</v>
      </c>
      <c r="W12" t="n">
        <v>2875</v>
      </c>
      <c r="X12" t="n">
        <v>3000</v>
      </c>
      <c r="Y12" t="n">
        <v>3125</v>
      </c>
      <c r="Z12" t="n">
        <v>3250</v>
      </c>
      <c r="AA12" t="n">
        <v>3375</v>
      </c>
      <c r="AB12" t="n">
        <v>3500</v>
      </c>
      <c r="AC12" t="n">
        <v>3625</v>
      </c>
      <c r="AD12" t="n">
        <v>3750</v>
      </c>
      <c r="AE12" t="n">
        <v>3875</v>
      </c>
      <c r="AF12" t="n">
        <v>4000</v>
      </c>
      <c r="AG12" t="n">
        <v>4125</v>
      </c>
      <c r="AH12" t="n">
        <v>4250</v>
      </c>
      <c r="AI12" t="n">
        <v>4375</v>
      </c>
      <c r="AJ12" t="n">
        <v>4500</v>
      </c>
      <c r="AK12" t="n">
        <v>4625</v>
      </c>
      <c r="AL12" t="n">
        <v>4750</v>
      </c>
      <c r="AM12" t="n">
        <v>4875</v>
      </c>
      <c r="AN12" t="n">
        <v>5000</v>
      </c>
      <c r="AO12" t="n">
        <v>5125</v>
      </c>
      <c r="AP12" t="n">
        <v>5250</v>
      </c>
      <c r="AQ12" t="n">
        <v>5375</v>
      </c>
      <c r="AR12" t="n">
        <v>5500</v>
      </c>
      <c r="AS12" t="n">
        <v>5625</v>
      </c>
      <c r="AT12" t="n">
        <v>5750</v>
      </c>
      <c r="AU12" t="n">
        <v>5875</v>
      </c>
      <c r="AV12" t="n">
        <v>6000</v>
      </c>
      <c r="AW12" t="n">
        <v>6125</v>
      </c>
    </row>
    <row r="13">
      <c r="A13" t="inlineStr">
        <is>
          <t>1.80</t>
        </is>
      </c>
      <c r="B13" t="n">
        <v>300</v>
      </c>
      <c r="C13" t="n">
        <v>450</v>
      </c>
      <c r="D13" t="n">
        <v>600</v>
      </c>
      <c r="E13" t="n">
        <v>750</v>
      </c>
      <c r="F13" t="n">
        <v>900</v>
      </c>
      <c r="G13" t="n">
        <v>1050</v>
      </c>
      <c r="H13" t="n">
        <v>1200</v>
      </c>
      <c r="I13" t="n">
        <v>1350</v>
      </c>
      <c r="J13" t="n">
        <v>1500</v>
      </c>
      <c r="K13" t="n">
        <v>1650</v>
      </c>
      <c r="L13" t="n">
        <v>1800</v>
      </c>
      <c r="M13" t="n">
        <v>1950</v>
      </c>
      <c r="N13" t="n">
        <v>2100</v>
      </c>
      <c r="O13" t="n">
        <v>2250</v>
      </c>
      <c r="P13" t="n">
        <v>2400</v>
      </c>
      <c r="Q13" t="n">
        <v>2550</v>
      </c>
      <c r="R13" t="n">
        <v>2700</v>
      </c>
      <c r="S13" t="n">
        <v>2850</v>
      </c>
      <c r="T13" t="n">
        <v>3000</v>
      </c>
      <c r="U13" t="n">
        <v>3150</v>
      </c>
      <c r="V13" t="n">
        <v>3300</v>
      </c>
      <c r="W13" t="n">
        <v>3450</v>
      </c>
      <c r="X13" t="n">
        <v>3600</v>
      </c>
      <c r="Y13" t="n">
        <v>3750</v>
      </c>
      <c r="Z13" t="n">
        <v>3900</v>
      </c>
      <c r="AA13" t="n">
        <v>4050</v>
      </c>
      <c r="AB13" t="n">
        <v>4200</v>
      </c>
      <c r="AC13" t="n">
        <v>4350</v>
      </c>
      <c r="AD13" t="n">
        <v>4500</v>
      </c>
      <c r="AE13" t="n">
        <v>4650</v>
      </c>
      <c r="AF13" t="n">
        <v>4800</v>
      </c>
      <c r="AG13" t="n">
        <v>4950</v>
      </c>
      <c r="AH13" t="n">
        <v>5100</v>
      </c>
      <c r="AI13" t="n">
        <v>5250</v>
      </c>
      <c r="AJ13" t="n">
        <v>5400</v>
      </c>
      <c r="AK13" t="n">
        <v>5550</v>
      </c>
      <c r="AL13" t="n">
        <v>5700</v>
      </c>
      <c r="AM13" t="n">
        <v>5850</v>
      </c>
      <c r="AN13" t="n">
        <v>6000</v>
      </c>
      <c r="AO13" t="n">
        <v>6150</v>
      </c>
      <c r="AP13" t="n">
        <v>6300</v>
      </c>
      <c r="AQ13" t="n">
        <v>6450</v>
      </c>
      <c r="AR13" t="n">
        <v>6600</v>
      </c>
      <c r="AS13" t="n">
        <v>6750</v>
      </c>
      <c r="AT13" t="n">
        <v>6900</v>
      </c>
      <c r="AU13" t="n">
        <v>7050</v>
      </c>
      <c r="AV13" t="n">
        <v>7200</v>
      </c>
      <c r="AW13" t="n">
        <v>7350</v>
      </c>
    </row>
    <row r="14">
      <c r="A14" t="inlineStr">
        <is>
          <t>1.75</t>
        </is>
      </c>
      <c r="B14" t="n">
        <v>350</v>
      </c>
      <c r="C14" t="n">
        <v>525</v>
      </c>
      <c r="D14" t="n">
        <v>700</v>
      </c>
      <c r="E14" t="n">
        <v>875</v>
      </c>
      <c r="F14" t="n">
        <v>1050</v>
      </c>
      <c r="G14" t="n">
        <v>1225</v>
      </c>
      <c r="H14" t="n">
        <v>1400</v>
      </c>
      <c r="I14" t="n">
        <v>1575</v>
      </c>
      <c r="J14" t="n">
        <v>1750</v>
      </c>
      <c r="K14" t="n">
        <v>1925</v>
      </c>
      <c r="L14" t="n">
        <v>2100</v>
      </c>
      <c r="M14" t="n">
        <v>2275</v>
      </c>
      <c r="N14" t="n">
        <v>2450</v>
      </c>
      <c r="O14" t="n">
        <v>2625</v>
      </c>
      <c r="P14" t="n">
        <v>2800</v>
      </c>
      <c r="Q14" t="n">
        <v>2975</v>
      </c>
      <c r="R14" t="n">
        <v>3150</v>
      </c>
      <c r="S14" t="n">
        <v>3325</v>
      </c>
      <c r="T14" t="n">
        <v>3500</v>
      </c>
      <c r="U14" t="n">
        <v>3675</v>
      </c>
      <c r="V14" t="n">
        <v>3850</v>
      </c>
      <c r="W14" t="n">
        <v>4025</v>
      </c>
      <c r="X14" t="n">
        <v>4200</v>
      </c>
      <c r="Y14" t="n">
        <v>4375</v>
      </c>
      <c r="Z14" t="n">
        <v>4550</v>
      </c>
      <c r="AA14" t="n">
        <v>4725</v>
      </c>
      <c r="AB14" t="n">
        <v>4900</v>
      </c>
      <c r="AC14" t="n">
        <v>5075</v>
      </c>
      <c r="AD14" t="n">
        <v>5250</v>
      </c>
      <c r="AE14" t="n">
        <v>5425</v>
      </c>
      <c r="AF14" t="n">
        <v>5600</v>
      </c>
      <c r="AG14" t="n">
        <v>5775</v>
      </c>
      <c r="AH14" t="n">
        <v>5950</v>
      </c>
      <c r="AI14" t="n">
        <v>6125</v>
      </c>
      <c r="AJ14" t="n">
        <v>6300</v>
      </c>
      <c r="AK14" t="n">
        <v>6475</v>
      </c>
      <c r="AL14" t="n">
        <v>6650</v>
      </c>
      <c r="AM14" t="n">
        <v>6825</v>
      </c>
      <c r="AN14" t="n">
        <v>7000</v>
      </c>
      <c r="AO14" t="n">
        <v>7175</v>
      </c>
      <c r="AP14" t="n">
        <v>7350</v>
      </c>
      <c r="AQ14" t="n">
        <v>7525</v>
      </c>
      <c r="AR14" t="n">
        <v>7700</v>
      </c>
      <c r="AS14" t="n">
        <v>7875</v>
      </c>
      <c r="AT14" t="n">
        <v>8050</v>
      </c>
      <c r="AU14" t="n">
        <v>8225</v>
      </c>
      <c r="AV14" t="n">
        <v>8400</v>
      </c>
      <c r="AW14" t="n">
        <v>8575</v>
      </c>
    </row>
    <row r="15">
      <c r="A15" t="inlineStr">
        <is>
          <t>1.70</t>
        </is>
      </c>
      <c r="B15" t="n">
        <v>400</v>
      </c>
      <c r="C15" t="n">
        <v>600</v>
      </c>
      <c r="D15" t="n">
        <v>800</v>
      </c>
      <c r="E15" t="n">
        <v>1000</v>
      </c>
      <c r="F15" t="n">
        <v>1200</v>
      </c>
      <c r="G15" t="n">
        <v>1400</v>
      </c>
      <c r="H15" t="n">
        <v>1600</v>
      </c>
      <c r="I15" t="n">
        <v>1800</v>
      </c>
      <c r="J15" t="n">
        <v>2000</v>
      </c>
      <c r="K15" t="n">
        <v>2200</v>
      </c>
      <c r="L15" t="n">
        <v>2400</v>
      </c>
      <c r="M15" t="n">
        <v>2600</v>
      </c>
      <c r="N15" t="n">
        <v>2800</v>
      </c>
      <c r="O15" t="n">
        <v>3000</v>
      </c>
      <c r="P15" t="n">
        <v>3200</v>
      </c>
      <c r="Q15" t="n">
        <v>3400</v>
      </c>
      <c r="R15" t="n">
        <v>3600</v>
      </c>
      <c r="S15" t="n">
        <v>3800</v>
      </c>
      <c r="T15" t="n">
        <v>4000</v>
      </c>
      <c r="U15" t="n">
        <v>4200</v>
      </c>
      <c r="V15" t="n">
        <v>4400</v>
      </c>
      <c r="W15" t="n">
        <v>4600</v>
      </c>
      <c r="X15" t="n">
        <v>4800</v>
      </c>
      <c r="Y15" t="n">
        <v>5000</v>
      </c>
      <c r="Z15" t="n">
        <v>5200</v>
      </c>
      <c r="AA15" t="n">
        <v>5400</v>
      </c>
      <c r="AB15" t="n">
        <v>5600</v>
      </c>
      <c r="AC15" t="n">
        <v>5800</v>
      </c>
      <c r="AD15" t="n">
        <v>6000</v>
      </c>
      <c r="AE15" t="n">
        <v>6200</v>
      </c>
      <c r="AF15" t="n">
        <v>6400</v>
      </c>
      <c r="AG15" t="n">
        <v>6600</v>
      </c>
      <c r="AH15" t="n">
        <v>6800</v>
      </c>
      <c r="AI15" t="n">
        <v>7000</v>
      </c>
      <c r="AJ15" t="n">
        <v>7200</v>
      </c>
      <c r="AK15" t="n">
        <v>7400</v>
      </c>
      <c r="AL15" t="n">
        <v>7600</v>
      </c>
      <c r="AM15" t="n">
        <v>7800</v>
      </c>
      <c r="AN15" t="n">
        <v>8000</v>
      </c>
      <c r="AO15" t="n">
        <v>8200</v>
      </c>
      <c r="AP15" t="n">
        <v>8400</v>
      </c>
      <c r="AQ15" t="n">
        <v>8600</v>
      </c>
      <c r="AR15" t="n">
        <v>8800</v>
      </c>
      <c r="AS15" t="n">
        <v>9000</v>
      </c>
      <c r="AT15" t="n">
        <v>9200</v>
      </c>
      <c r="AU15" t="n">
        <v>9400</v>
      </c>
      <c r="AV15" t="n">
        <v>9600</v>
      </c>
      <c r="AW15" t="n">
        <v>9800</v>
      </c>
    </row>
    <row r="16">
      <c r="A16" t="inlineStr">
        <is>
          <t>1.65</t>
        </is>
      </c>
      <c r="B16" t="n">
        <v>450</v>
      </c>
      <c r="C16" t="n">
        <v>675</v>
      </c>
      <c r="D16" t="n">
        <v>900</v>
      </c>
      <c r="E16" t="n">
        <v>1125</v>
      </c>
      <c r="F16" t="n">
        <v>1350</v>
      </c>
      <c r="G16" t="n">
        <v>1575</v>
      </c>
      <c r="H16" t="n">
        <v>1800</v>
      </c>
      <c r="I16" t="n">
        <v>2025</v>
      </c>
      <c r="J16" t="n">
        <v>2250</v>
      </c>
      <c r="K16" t="n">
        <v>2475</v>
      </c>
      <c r="L16" t="n">
        <v>2700</v>
      </c>
      <c r="M16" t="n">
        <v>2925</v>
      </c>
      <c r="N16" t="n">
        <v>3150</v>
      </c>
      <c r="O16" t="n">
        <v>3375</v>
      </c>
      <c r="P16" t="n">
        <v>3600</v>
      </c>
      <c r="Q16" t="n">
        <v>3825</v>
      </c>
      <c r="R16" t="n">
        <v>4050</v>
      </c>
      <c r="S16" t="n">
        <v>4275</v>
      </c>
      <c r="T16" t="n">
        <v>4500</v>
      </c>
      <c r="U16" t="n">
        <v>4725</v>
      </c>
      <c r="V16" t="n">
        <v>4950</v>
      </c>
      <c r="W16" t="n">
        <v>5175</v>
      </c>
      <c r="X16" t="n">
        <v>5400</v>
      </c>
      <c r="Y16" t="n">
        <v>5625</v>
      </c>
      <c r="Z16" t="n">
        <v>5850</v>
      </c>
      <c r="AA16" t="n">
        <v>6075</v>
      </c>
      <c r="AB16" t="n">
        <v>6300</v>
      </c>
      <c r="AC16" t="n">
        <v>6525</v>
      </c>
      <c r="AD16" t="n">
        <v>6750</v>
      </c>
      <c r="AE16" t="n">
        <v>6975</v>
      </c>
      <c r="AF16" t="n">
        <v>7200</v>
      </c>
      <c r="AG16" t="n">
        <v>7425</v>
      </c>
      <c r="AH16" t="n">
        <v>7650</v>
      </c>
      <c r="AI16" t="n">
        <v>7875</v>
      </c>
      <c r="AJ16" t="n">
        <v>8100</v>
      </c>
      <c r="AK16" t="n">
        <v>8325</v>
      </c>
      <c r="AL16" t="n">
        <v>8550</v>
      </c>
      <c r="AM16" t="n">
        <v>8775</v>
      </c>
      <c r="AN16" t="n">
        <v>9000</v>
      </c>
      <c r="AO16" t="n">
        <v>9225</v>
      </c>
      <c r="AP16" t="n">
        <v>9450</v>
      </c>
      <c r="AQ16" t="n">
        <v>9675</v>
      </c>
      <c r="AR16" t="n">
        <v>9900</v>
      </c>
      <c r="AS16" t="n">
        <v>10125</v>
      </c>
      <c r="AT16" t="n">
        <v>10350</v>
      </c>
      <c r="AU16" t="n">
        <v>10575</v>
      </c>
      <c r="AV16" t="n">
        <v>10800</v>
      </c>
      <c r="AW16" t="n">
        <v>11025</v>
      </c>
    </row>
    <row r="17">
      <c r="A17" t="inlineStr">
        <is>
          <t>1.60</t>
        </is>
      </c>
      <c r="B17" t="n">
        <v>500</v>
      </c>
      <c r="C17" t="n">
        <v>750</v>
      </c>
      <c r="D17" t="n">
        <v>1000</v>
      </c>
      <c r="E17" t="n">
        <v>1250</v>
      </c>
      <c r="F17" t="n">
        <v>1500</v>
      </c>
      <c r="G17" t="n">
        <v>1750</v>
      </c>
      <c r="H17" t="n">
        <v>2000</v>
      </c>
      <c r="I17" t="n">
        <v>2250</v>
      </c>
      <c r="J17" t="n">
        <v>2500</v>
      </c>
      <c r="K17" t="n">
        <v>2750</v>
      </c>
      <c r="L17" t="n">
        <v>3000</v>
      </c>
      <c r="M17" t="n">
        <v>3250</v>
      </c>
      <c r="N17" t="n">
        <v>3500</v>
      </c>
      <c r="O17" t="n">
        <v>3750</v>
      </c>
      <c r="P17" t="n">
        <v>4000</v>
      </c>
      <c r="Q17" t="n">
        <v>4250</v>
      </c>
      <c r="R17" t="n">
        <v>4500</v>
      </c>
      <c r="S17" t="n">
        <v>4750</v>
      </c>
      <c r="T17" t="n">
        <v>5000</v>
      </c>
      <c r="U17" t="n">
        <v>5250</v>
      </c>
      <c r="V17" t="n">
        <v>5500</v>
      </c>
      <c r="W17" t="n">
        <v>5750</v>
      </c>
      <c r="X17" t="n">
        <v>6000</v>
      </c>
      <c r="Y17" t="n">
        <v>6250</v>
      </c>
      <c r="Z17" t="n">
        <v>6500</v>
      </c>
      <c r="AA17" t="n">
        <v>6750</v>
      </c>
      <c r="AB17" t="n">
        <v>7000</v>
      </c>
      <c r="AC17" t="n">
        <v>7250</v>
      </c>
      <c r="AD17" t="n">
        <v>7500</v>
      </c>
      <c r="AE17" t="n">
        <v>7750</v>
      </c>
      <c r="AF17" t="n">
        <v>8000</v>
      </c>
      <c r="AG17" t="n">
        <v>8250</v>
      </c>
      <c r="AH17" t="n">
        <v>8500</v>
      </c>
      <c r="AI17" t="n">
        <v>8750</v>
      </c>
      <c r="AJ17" t="n">
        <v>9000</v>
      </c>
      <c r="AK17" t="n">
        <v>9250</v>
      </c>
      <c r="AL17" t="n">
        <v>9500</v>
      </c>
      <c r="AM17" t="n">
        <v>9750</v>
      </c>
      <c r="AN17" t="n">
        <v>10000</v>
      </c>
      <c r="AO17" t="n">
        <v>10250</v>
      </c>
      <c r="AP17" t="n">
        <v>10500</v>
      </c>
      <c r="AQ17" t="n">
        <v>10750</v>
      </c>
      <c r="AR17" t="n">
        <v>11000</v>
      </c>
      <c r="AS17" t="n">
        <v>11250</v>
      </c>
      <c r="AT17" t="n">
        <v>11500</v>
      </c>
      <c r="AU17" t="n">
        <v>11750</v>
      </c>
      <c r="AV17" t="n">
        <v>12000</v>
      </c>
      <c r="AW17" t="n">
        <v>12250</v>
      </c>
    </row>
    <row r="18">
      <c r="A18" t="inlineStr">
        <is>
          <t>1.55</t>
        </is>
      </c>
      <c r="B18" t="n">
        <v>550</v>
      </c>
      <c r="C18" t="n">
        <v>825</v>
      </c>
      <c r="D18" t="n">
        <v>1100</v>
      </c>
      <c r="E18" t="n">
        <v>1375</v>
      </c>
      <c r="F18" t="n">
        <v>1650</v>
      </c>
      <c r="G18" t="n">
        <v>1925</v>
      </c>
      <c r="H18" t="n">
        <v>2200</v>
      </c>
      <c r="I18" t="n">
        <v>2475</v>
      </c>
      <c r="J18" t="n">
        <v>2750</v>
      </c>
      <c r="K18" t="n">
        <v>3025</v>
      </c>
      <c r="L18" t="n">
        <v>3300</v>
      </c>
      <c r="M18" t="n">
        <v>3575</v>
      </c>
      <c r="N18" t="n">
        <v>3850</v>
      </c>
      <c r="O18" t="n">
        <v>4125</v>
      </c>
      <c r="P18" t="n">
        <v>4400</v>
      </c>
      <c r="Q18" t="n">
        <v>4675</v>
      </c>
      <c r="R18" t="n">
        <v>4950</v>
      </c>
      <c r="S18" t="n">
        <v>5225</v>
      </c>
      <c r="T18" t="n">
        <v>5500</v>
      </c>
      <c r="U18" t="n">
        <v>5775</v>
      </c>
      <c r="V18" t="n">
        <v>6050</v>
      </c>
      <c r="W18" t="n">
        <v>6325</v>
      </c>
      <c r="X18" t="n">
        <v>6600</v>
      </c>
      <c r="Y18" t="n">
        <v>6875</v>
      </c>
      <c r="Z18" t="n">
        <v>7150</v>
      </c>
      <c r="AA18" t="n">
        <v>7425</v>
      </c>
      <c r="AB18" t="n">
        <v>7700</v>
      </c>
      <c r="AC18" t="n">
        <v>7975</v>
      </c>
      <c r="AD18" t="n">
        <v>8250</v>
      </c>
      <c r="AE18" t="n">
        <v>8525</v>
      </c>
      <c r="AF18" t="n">
        <v>8800</v>
      </c>
      <c r="AG18" t="n">
        <v>9075</v>
      </c>
      <c r="AH18" t="n">
        <v>9350</v>
      </c>
      <c r="AI18" t="n">
        <v>9625</v>
      </c>
      <c r="AJ18" t="n">
        <v>9900</v>
      </c>
      <c r="AK18" t="n">
        <v>10175</v>
      </c>
      <c r="AL18" t="n">
        <v>10450</v>
      </c>
      <c r="AM18" t="n">
        <v>10725</v>
      </c>
      <c r="AN18" t="n">
        <v>11000</v>
      </c>
      <c r="AO18" t="n">
        <v>11275</v>
      </c>
      <c r="AP18" t="n">
        <v>11550</v>
      </c>
      <c r="AQ18" t="n">
        <v>11825</v>
      </c>
      <c r="AR18" t="n">
        <v>12100</v>
      </c>
      <c r="AS18" t="n">
        <v>12375</v>
      </c>
      <c r="AT18" t="n">
        <v>12650</v>
      </c>
      <c r="AU18" t="n">
        <v>12925</v>
      </c>
      <c r="AV18" t="n">
        <v>13200</v>
      </c>
      <c r="AW18" t="n">
        <v>13475</v>
      </c>
    </row>
    <row r="19">
      <c r="A19" t="inlineStr">
        <is>
          <t>1.50</t>
        </is>
      </c>
      <c r="B19" t="n">
        <v>600</v>
      </c>
      <c r="C19" t="n">
        <v>900</v>
      </c>
      <c r="D19" t="n">
        <v>1200</v>
      </c>
      <c r="E19" t="n">
        <v>1500</v>
      </c>
      <c r="F19" t="n">
        <v>1800</v>
      </c>
      <c r="G19" t="n">
        <v>2100</v>
      </c>
      <c r="H19" t="n">
        <v>2400</v>
      </c>
      <c r="I19" t="n">
        <v>2700</v>
      </c>
      <c r="J19" t="n">
        <v>3000</v>
      </c>
      <c r="K19" t="n">
        <v>3300</v>
      </c>
      <c r="L19" t="n">
        <v>3600</v>
      </c>
      <c r="M19" t="n">
        <v>3900</v>
      </c>
      <c r="N19" t="n">
        <v>4200</v>
      </c>
      <c r="O19" t="n">
        <v>4500</v>
      </c>
      <c r="P19" t="n">
        <v>4800</v>
      </c>
      <c r="Q19" t="n">
        <v>5100</v>
      </c>
      <c r="R19" t="n">
        <v>5400</v>
      </c>
      <c r="S19" t="n">
        <v>5700</v>
      </c>
      <c r="T19" t="n">
        <v>6000</v>
      </c>
      <c r="U19" t="n">
        <v>6300</v>
      </c>
      <c r="V19" t="n">
        <v>6600</v>
      </c>
      <c r="W19" t="n">
        <v>6900</v>
      </c>
      <c r="X19" t="n">
        <v>7200</v>
      </c>
      <c r="Y19" t="n">
        <v>7500</v>
      </c>
      <c r="Z19" t="n">
        <v>7800</v>
      </c>
      <c r="AA19" t="n">
        <v>8100</v>
      </c>
      <c r="AB19" t="n">
        <v>8400</v>
      </c>
      <c r="AC19" t="n">
        <v>8700</v>
      </c>
      <c r="AD19" t="n">
        <v>9000</v>
      </c>
      <c r="AE19" t="n">
        <v>9300</v>
      </c>
      <c r="AF19" t="n">
        <v>9600</v>
      </c>
      <c r="AG19" t="n">
        <v>9900</v>
      </c>
      <c r="AH19" t="n">
        <v>10200</v>
      </c>
      <c r="AI19" t="n">
        <v>10500</v>
      </c>
      <c r="AJ19" t="n">
        <v>10800</v>
      </c>
      <c r="AK19" t="n">
        <v>11100</v>
      </c>
      <c r="AL19" t="n">
        <v>11400</v>
      </c>
      <c r="AM19" t="n">
        <v>11700</v>
      </c>
      <c r="AN19" t="n">
        <v>12000</v>
      </c>
      <c r="AO19" t="n">
        <v>12300</v>
      </c>
      <c r="AP19" t="n">
        <v>12600</v>
      </c>
      <c r="AQ19" t="n">
        <v>12900</v>
      </c>
      <c r="AR19" t="n">
        <v>13200</v>
      </c>
      <c r="AS19" t="n">
        <v>13500</v>
      </c>
      <c r="AT19" t="n">
        <v>13800</v>
      </c>
      <c r="AU19" t="n">
        <v>14100</v>
      </c>
      <c r="AV19" t="n">
        <v>14400</v>
      </c>
      <c r="AW19" t="n">
        <v>14700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6" t="inlineStr">
        <is>
          <t>Setting</t>
        </is>
      </c>
      <c r="B1" s="6" t="inlineStr">
        <is>
          <t>Value</t>
        </is>
      </c>
    </row>
    <row r="2">
      <c r="A2" t="inlineStr">
        <is>
          <t>Round now (08:00 = morning, 11:00, 14:00, 16:00)</t>
        </is>
      </c>
      <c r="B2" s="7" t="inlineStr">
        <is>
          <t>08:00</t>
        </is>
      </c>
    </row>
    <row r="3">
      <c r="A3" t="inlineStr">
        <is>
          <t>Target EC (around)</t>
        </is>
      </c>
      <c r="B3" s="7" t="n">
        <v>1.7</v>
      </c>
    </row>
    <row r="4">
      <c r="A4" t="inlineStr">
        <is>
          <t>Over-tank water EC (mS/cm)</t>
        </is>
      </c>
      <c r="B4" s="7" t="n">
        <v>1</v>
      </c>
    </row>
    <row r="5">
      <c r="A5" t="inlineStr">
        <is>
          <t>Default C drum (acid) cc per cm of water added</t>
        </is>
      </c>
      <c r="B5" s="7" t="n">
        <v>5</v>
      </c>
    </row>
    <row r="6">
      <c r="A6" t="inlineStr">
        <is>
          <t>Default target pH</t>
        </is>
      </c>
      <c r="B6" s="7" t="n">
        <v>6</v>
      </c>
    </row>
    <row r="7">
      <c r="A7" t="inlineStr">
        <is>
          <t>Two EC meters may differ by at most — above: CALIBRATE, no dose</t>
        </is>
      </c>
      <c r="B7" s="7" t="n">
        <v>0.06</v>
      </c>
    </row>
    <row r="8">
      <c r="A8" t="inlineStr">
        <is>
          <t>Two pH meters may differ by at most — above: CALIBRATE, no dose</t>
        </is>
      </c>
      <c r="B8" s="7" t="n">
        <v>0.06</v>
      </c>
    </row>
    <row r="9">
      <c r="A9" t="inlineStr">
        <is>
          <t>Water is HOT above °C</t>
        </is>
      </c>
      <c r="B9" s="7" t="n">
        <v>25</v>
      </c>
    </row>
    <row r="10">
      <c r="A10" t="inlineStr">
        <is>
          <t>Target EC of the matrix (PRJ pools)</t>
        </is>
      </c>
      <c r="B10" s="7" t="n">
        <v>1.9</v>
      </c>
    </row>
    <row r="12" ht="90" customHeight="1">
      <c r="A12" s="8" t="inlineStr">
        <is>
          <t>EYAL'S RULES (5 Oct 2026): GH1–GH6 fill to 60 cm in the morning round, and at any round when under 30 cm; 1 L A + 1 L B per 10 cm. GH7–GH8 fill to 100 cm when under 50 cm; 1 L per 12 cm. GH9 fill to 50 cm; 2 L per 10 cm. GH10 1 L per 10 cm; if EC is still under 1.7 after mixing, add 1 L more until ≈ 1.7. Whole liters. Always PURE water unless told otherwise. EC around 1.7, pH 5.6–6.5. Water temperature recorded; hot water flagged. PRJ pools keep the EC matrix.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1. Set the round on the Settings sheet (08:00 = morning). Each round Reven measures every pool: level (cm), both EC meters, both pH meters, water °C, and types them in yellow.</t>
        </is>
      </c>
    </row>
    <row r="2">
      <c r="A2" s="8" t="inlineStr">
        <is>
          <t>2. Two meters must agree (tolerance on Settings) — otherwise CALIBRATE and no dose.</t>
        </is>
      </c>
    </row>
    <row r="3">
      <c r="A3" s="8" t="inlineStr">
        <is>
          <t>3. GH1–GH6: Nexi fills to 60 cm in the morning, or at any round when under 30 cm; 1 L of A and 1 L of B per 10 cm. GH7–GH8: to 100 cm when under 50 cm, 1 L per 12 cm. GH9: to 50 cm, 2 L per 10 cm. GH10: 1 L per 10 cm, plus 1 L more while EC stays under 1.7. Whole liters. Pure water unless told otherwise.</t>
        </is>
      </c>
    </row>
    <row r="4">
      <c r="A4" s="8" t="inlineStr">
        <is>
          <t>4. EC around 1.7, pH 5.6–6.5. Water above 25 °C is flagged hot.</t>
        </is>
      </c>
    </row>
    <row r="5">
      <c r="A5" s="8" t="inlineStr">
        <is>
          <t>5. PRJ11–16 pools (no rule) use the EC matrix × template × water-source factor; C (acid) = cm × cc/cm × pH factor.</t>
        </is>
      </c>
    </row>
    <row r="6">
      <c r="A6" s="8" t="inlineStr">
        <is>
          <t>6. Nexi itself: Irrigation ▸ Pool Monitoring ▸ Nexi says column and 📋 Export for Reven give the same answers from the typed readings.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2026-10-05T04:08:50Z</dcterms:created>
  <dcterms:modified xmlns:dcterms="http://purl.org/dc/terms/" xmlns:xsi="http://www.w3.org/2001/XMLSchema-instance" xsi:type="dcterms:W3CDTF">2026-10-05T04:08:51Z</dcterms:modified>
</cp:coreProperties>
</file>